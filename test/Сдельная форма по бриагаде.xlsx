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8_{E9D6A571-E0A8-4720-8920-0825C958F1C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Отчёт по проекту" sheetId="1" r:id="rId1"/>
    <sheet name="Журнал-1" sheetId="2" r:id="rId2"/>
    <sheet name="Журнал-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/>
  <c r="L13" i="1"/>
  <c r="I13" i="1"/>
  <c r="H13" i="1"/>
  <c r="M12" i="1"/>
  <c r="L12" i="1"/>
  <c r="I12" i="1"/>
  <c r="H12" i="1"/>
  <c r="M11" i="1"/>
  <c r="L11" i="1"/>
  <c r="I11" i="1"/>
  <c r="H11" i="1"/>
  <c r="M10" i="1"/>
  <c r="L10" i="1"/>
  <c r="I10" i="1"/>
  <c r="H10" i="1"/>
  <c r="M9" i="1"/>
  <c r="L9" i="1"/>
  <c r="I9" i="1"/>
  <c r="H9" i="1"/>
  <c r="M8" i="1"/>
  <c r="L8" i="1"/>
  <c r="I8" i="1"/>
  <c r="H8" i="1"/>
  <c r="M7" i="1"/>
  <c r="L7" i="1"/>
  <c r="I7" i="1"/>
  <c r="H7" i="1"/>
  <c r="M6" i="1"/>
  <c r="L6" i="1"/>
  <c r="I6" i="1"/>
  <c r="H6" i="1"/>
</calcChain>
</file>

<file path=xl/sharedStrings.xml><?xml version="1.0" encoding="utf-8"?>
<sst xmlns="http://schemas.openxmlformats.org/spreadsheetml/2006/main" count="3864" uniqueCount="141">
  <si>
    <t>Выполнение работ по проекту "ул. Обрывная, д. 10" Бригада Петрова - сдельная</t>
  </si>
  <si>
    <t>c 04.10.2023 по 07.11.2025</t>
  </si>
  <si>
    <t>№ п/п</t>
  </si>
  <si>
    <t>Наименование работ</t>
  </si>
  <si>
    <t>Исполнитель</t>
  </si>
  <si>
    <t>Ед. изм.</t>
  </si>
  <si>
    <t>Стоимость на ед.</t>
  </si>
  <si>
    <t>Объём по проекту</t>
  </si>
  <si>
    <t>Стоимость по проекту</t>
  </si>
  <si>
    <t>План</t>
  </si>
  <si>
    <t>Факт</t>
  </si>
  <si>
    <t>+/-</t>
  </si>
  <si>
    <t>%</t>
  </si>
  <si>
    <t>Факт объёмы</t>
  </si>
  <si>
    <t>Факт cтоимость</t>
  </si>
  <si>
    <t>1</t>
  </si>
  <si>
    <t>Бригажа Петрова</t>
  </si>
  <si>
    <t xml:space="preserve"> </t>
  </si>
  <si>
    <t>1.1</t>
  </si>
  <si>
    <t xml:space="preserve"> Монтаж коробок распределительных и протяжных (Ремонт входных групп)</t>
  </si>
  <si>
    <t>Бригада Петрова</t>
  </si>
  <si>
    <t>шт.</t>
  </si>
  <si>
    <t>1.2</t>
  </si>
  <si>
    <t xml:space="preserve"> Монтаж трубы ПВХ до 63мм</t>
  </si>
  <si>
    <t>м</t>
  </si>
  <si>
    <t>1.3</t>
  </si>
  <si>
    <t xml:space="preserve"> Монтаж эвакуационных указателей</t>
  </si>
  <si>
    <t>1.4</t>
  </si>
  <si>
    <t xml:space="preserve"> Прокладка кабеля массой до 1кг</t>
  </si>
  <si>
    <t>1.5</t>
  </si>
  <si>
    <t xml:space="preserve"> Прокладка кабеля массой свыше 1кг</t>
  </si>
  <si>
    <t>1.6</t>
  </si>
  <si>
    <t xml:space="preserve"> Установка извещателей электронных</t>
  </si>
  <si>
    <t>1.7</t>
  </si>
  <si>
    <t xml:space="preserve"> Установка приборов</t>
  </si>
  <si>
    <t>1.8</t>
  </si>
  <si>
    <t xml:space="preserve"> Монтаж кабель-канала</t>
  </si>
  <si>
    <t>Итого</t>
  </si>
  <si>
    <t>Лог-файл</t>
  </si>
  <si>
    <t>04.10.2023</t>
  </si>
  <si>
    <t>07.11.2025</t>
  </si>
  <si>
    <t>#</t>
  </si>
  <si>
    <t>Дата</t>
  </si>
  <si>
    <t>ФИО</t>
  </si>
  <si>
    <t>Должность</t>
  </si>
  <si>
    <t>Компания</t>
  </si>
  <si>
    <t>Объект ур.1</t>
  </si>
  <si>
    <t>Раздел работ</t>
  </si>
  <si>
    <t>Работа1 вид/код/тип</t>
  </si>
  <si>
    <t>Чел. часы на ед.</t>
  </si>
  <si>
    <t>Трудоемкость на объём</t>
  </si>
  <si>
    <t>Работа1</t>
  </si>
  <si>
    <t>Работа1 Ед.1</t>
  </si>
  <si>
    <t>Работа1 значение ед.1</t>
  </si>
  <si>
    <t>Работа1 План</t>
  </si>
  <si>
    <t>Стоимость факт</t>
  </si>
  <si>
    <t>Стоимость на единицу</t>
  </si>
  <si>
    <t>Стоимость план</t>
  </si>
  <si>
    <t>Смена</t>
  </si>
  <si>
    <t>План смена</t>
  </si>
  <si>
    <t>Примечание работа</t>
  </si>
  <si>
    <t>Комментарий</t>
  </si>
  <si>
    <t>Объект</t>
  </si>
  <si>
    <t>Работа2</t>
  </si>
  <si>
    <t>Ед. измерения</t>
  </si>
  <si>
    <t>Зона работы</t>
  </si>
  <si>
    <t>Кол-во чел.</t>
  </si>
  <si>
    <t>Чел.часы</t>
  </si>
  <si>
    <t>Кол-во техники</t>
  </si>
  <si>
    <t>Маш.часы</t>
  </si>
  <si>
    <t>Утверждён</t>
  </si>
  <si>
    <t>Файл1</t>
  </si>
  <si>
    <t>Файл2</t>
  </si>
  <si>
    <t>Файл3</t>
  </si>
  <si>
    <t>Денис Ткаченко</t>
  </si>
  <si>
    <t/>
  </si>
  <si>
    <t>Монтаж коробок распределительных и протяжных (Ремонт входных групп)</t>
  </si>
  <si>
    <t>Титул 1-&gt;1.05.15. (АПС БС1-2) ПРОТЯЖКА КАБЕЛЯ ПОКВАРТИРНО И МОП</t>
  </si>
  <si>
    <t>БС1 &gt; 1 этаж</t>
  </si>
  <si>
    <t>Монтаж эвакуационных указателей</t>
  </si>
  <si>
    <t>Прокладка кабеля массой свыше 1кг</t>
  </si>
  <si>
    <t>БС1 &gt; 2 этаж</t>
  </si>
  <si>
    <t>Прокладка кабеля массой до 1кг</t>
  </si>
  <si>
    <t>Монтаж трубы ПВХ до 63мм</t>
  </si>
  <si>
    <t>Бригада Семёнова</t>
  </si>
  <si>
    <t>БС1 &gt; 5 этаж</t>
  </si>
  <si>
    <t>https://firebasestorage.googleapis.com/v0/b/stroybots-prod.appspot.com/o/reports%2F14f4f827-a813-421d-ac86-97d67a249695?alt=media&amp;token=76aa5d99-4e8e-47fd-8a0a-1826505dfa6f</t>
  </si>
  <si>
    <t>Максим Карионов</t>
  </si>
  <si>
    <t>Установка приборов</t>
  </si>
  <si>
    <t>https://firebasestorage.googleapis.com/v0/b/stroybots-prod.appspot.com/o/reports%2Fd2fb5ca1-63c2-4416-9954-262bbfa08658.jpg?alt=media&amp;token=69e86eb0-ec2a-4fa6-a9f7-0fa2d111a255</t>
  </si>
  <si>
    <t>БС1 &gt; 7 этаж</t>
  </si>
  <si>
    <t>https://firebasestorage.googleapis.com/v0/b/stroybots-prod.appspot.com/o/reports%2F6adafde8-6cc5-480c-99a4-6f9eacdc465d.jpg?alt=media&amp;token=05f5b052-43b1-45cd-bcac-4bd44dd7c83a</t>
  </si>
  <si>
    <t>Петров Г.С.</t>
  </si>
  <si>
    <t>https://firebasestorage.googleapis.com/v0/b/stroybots-prod.appspot.com/o/reports%2F7768d154-42c6-4b90-8df4-01d07be6a0b4.jpg?alt=media&amp;token=2941fca2-1c6c-4959-af71-d9b2aa02a800</t>
  </si>
  <si>
    <t>БС1 &gt; 4 этаж</t>
  </si>
  <si>
    <t>Кабель силовой ВВГнг(А)-FRLS 3х2,5</t>
  </si>
  <si>
    <t>https://firebasestorage.googleapis.com/v0/b/stroybots-prod.appspot.com/o/reports%2Ff863940f-2e12-4877-96b4-611d5ce584ba.jpg?alt=media&amp;token=e69f0a77-261f-477e-b24b-fdaa54423e1b</t>
  </si>
  <si>
    <t>Контрольно-пусковой шкаф ШУВ-1,5-03-R3</t>
  </si>
  <si>
    <t>Оповещатель световой "Выход"  ОПОП 1-8 (12вт)</t>
  </si>
  <si>
    <t>БС1 &gt; 3 этаж</t>
  </si>
  <si>
    <t>https://firebasestorage.googleapis.com/v0/b/stroybots-prod.appspot.com/o/reports%2Fba87c148-4e96-4570-a447-0fffb51ebd1c.jpg?alt=media&amp;token=aaa835b2-3736-4f0f-a448-51f981eae857</t>
  </si>
  <si>
    <t>Кабель контрольный КВВГ нг(А)-FRLS 4х0,75</t>
  </si>
  <si>
    <t>https://firebasestorage.googleapis.com/v0/b/stroybots-prod.appspot.com/o/reports%2F7e540a43-158c-4f4f-b746-a225da596792.jpg?alt=media&amp;token=0fd8233f-eac8-417b-bf53-752397b79577</t>
  </si>
  <si>
    <t>https://firebasestorage.googleapis.com/v0/b/stroybots-prod.appspot.com/o/reports%2F5b50f1d7-d81c-4b08-bbff-6bb75af0341d.jpg?alt=media&amp;token=bf5a72d6-d6e8-4c6a-83a7-4886e542b66c</t>
  </si>
  <si>
    <t>https://firebasestorage.googleapis.com/v0/b/stroybots-prod.appspot.com/o/reports%2F39704a49-f643-4407-9e37-00ed1f65e727.jpg?alt=media&amp;token=1ef5e1a3-ba54-4453-b8e7-85b214db2ae6</t>
  </si>
  <si>
    <t>Дмитриев Д.Д.</t>
  </si>
  <si>
    <t>https://firebasestorage.googleapis.com/v0/b/stroybots-prod.appspot.com/o/reports%2Fe67d3b2f-00af-4564-af8a-9bb6928faa4e.jpg?alt=media&amp;token=692e9530-ae82-4f74-8b53-1c3d9e63f310</t>
  </si>
  <si>
    <t>Установка извещателей электронных</t>
  </si>
  <si>
    <t>Оповещатель Речевой ПКИ-РС1 "Говорун" 12В</t>
  </si>
  <si>
    <t>Рубеж ИП 101-29-PR  прот,R3 IP 40</t>
  </si>
  <si>
    <t>https://firebasestorage.googleapis.com/v0/b/stroybots-prod.appspot.com/o/reports%2Faf58c1f2-022f-499e-89ab-1ecb9d0236b2.png?alt=media&amp;token=16ab456c-970b-4062-baae-1226f546888b</t>
  </si>
  <si>
    <t>https://firebasestorage.googleapis.com/v0/b/stroybots-prod.appspot.com/o/reports%2F5fb79fb5-1b43-48dc-b627-fdc599ea9da9.jpg?alt=media&amp;token=95d4e22b-689c-4c3b-acc3-f10c78d5dc64</t>
  </si>
  <si>
    <t>https://firebasestorage.googleapis.com/v0/b/stroybots-prod.appspot.com/o/reports%2F6c537ba2-d197-42a7-85ab-63a213970ef3.jpg?alt=media&amp;token=fb2e6b9b-811f-4147-b0d3-2f6cd90ab809</t>
  </si>
  <si>
    <t>https://firebasestorage.googleapis.com/v0/b/stroybots-prod.appspot.com/o/reports%2Fa49195c9-8d88-44f6-aa3d-f1ee8a81b2c0.jpg?alt=media&amp;token=989bd2b3-ae83-48ee-ac25-da1e782f85ba</t>
  </si>
  <si>
    <t>https://firebasestorage.googleapis.com/v0/b/stroybots-prod.appspot.com/o/reports%2Ffff70899-6f2f-416d-a3ad-4f55f18f33c2.jpg?alt=media&amp;token=39b1efbd-c2a8-401a-ab35-4c6d27c121b8</t>
  </si>
  <si>
    <t>https://firebasestorage.googleapis.com/v0/b/stroybots-prod.appspot.com/o/reports%2F0149de8c-cc24-4f29-aa4a-762eff2d5a1e.jpg?alt=media&amp;token=f3f66c5d-7be8-4cfc-9f04-35b0a8b71c5b</t>
  </si>
  <si>
    <t>https://firebasestorage.googleapis.com/v0/b/stroybots-prod.appspot.com/o/reports%2F7a1b0d67-e4e8-46b4-aeff-0c019b383bca.jpg?alt=media&amp;token=18177452-3c86-4b37-b171-8d7937f255ff</t>
  </si>
  <si>
    <t>https://firebasestorage.googleapis.com/v0/b/stroybots-prod.appspot.com/o/reports%2F859d2b04-1327-4263-9159-1de67266b613.jpg?alt=media&amp;token=6a1869e3-2b0f-48ea-9082-a4db004c2e74</t>
  </si>
  <si>
    <t>https://firebasestorage.googleapis.com/v0/b/stroybots-prod.appspot.com/o/reports%2F4d72b332-ce0d-42a7-bbeb-a7ff309362d1.jpg?alt=media&amp;token=25e40368-7f71-485d-a853-1b8edb9ab724</t>
  </si>
  <si>
    <t>Монтаж кабель-канала</t>
  </si>
  <si>
    <t>https://firebasestorage.googleapis.com/v0/b/stroybots-prod.appspot.com/o/reports%2F05a5e1df-98cd-4f91-a237-90ad2366294e.png?alt=media&amp;token=9cd40987-062f-4c8c-85f5-66043231bb80</t>
  </si>
  <si>
    <t>Файл_1</t>
  </si>
  <si>
    <t>https://firebasestorage.googleapis.com/v0/b/stroybots-prod.appspot.com/o/reports%2F33adc640-347e-43b3-8f68-43a9277db8b1.png?alt=media&amp;token=160a061b-0975-4007-8ec4-d3a6aeeb7dc9</t>
  </si>
  <si>
    <t>https://firebasestorage.googleapis.com/v0/b/stroybots-prod.appspot.com/o/reports%2F7f2c79b0-a82f-4f2e-9725-c0912e41705b.jpg?alt=media&amp;token=908f674e-bd1b-4ce2-9caa-81a66487933b</t>
  </si>
  <si>
    <t>Файл_2</t>
  </si>
  <si>
    <t>https://firebasestorage.googleapis.com/v0/b/stroybots-prod.appspot.com/o/reports%2Fea578117-9f13-42bf-aa57-65427dd5592a.jpg?alt=media&amp;token=c47fcf4b-7317-43b6-b5d1-c3adee26b5b5</t>
  </si>
  <si>
    <t>https://firebasestorage.googleapis.com/v0/b/stroybots-prod.appspot.com/o/reports%2F5a9c59c1-06bc-4fae-ba52-888d6c8051a4.jpg?alt=media&amp;token=1ec2dff8-6571-4349-bd72-64d4f2f0ffaf</t>
  </si>
  <si>
    <t>https://firebasestorage.googleapis.com/v0/b/stroybots-prod.appspot.com/o/reports%2Fc64732f9-5ee0-4f3c-b0f8-ed228f38b54a.jpeg?alt=media&amp;token=626bc6e3-0890-45b2-9e98-db3838783921</t>
  </si>
  <si>
    <t>Бригада Иванова</t>
  </si>
  <si>
    <t>Звено Крупского Н.В.</t>
  </si>
  <si>
    <t>ул. Обрывная, д. 10</t>
  </si>
  <si>
    <t>Вид Работы</t>
  </si>
  <si>
    <t>Ед. изм</t>
  </si>
  <si>
    <t>Выполненный объем за смену</t>
  </si>
  <si>
    <t>Проектный объем</t>
  </si>
  <si>
    <t>Рабочие - 1</t>
  </si>
  <si>
    <t>Рабочие - 2</t>
  </si>
  <si>
    <t>Рабочие - 3</t>
  </si>
  <si>
    <t>Рабочие - 4</t>
  </si>
  <si>
    <t>Рабочие - 6</t>
  </si>
  <si>
    <t>Рабочие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</si>
</sst>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name val="Cambria"/>
    </font>
    <font>
      <sz val="11"/>
      <name val="Calibri"/>
    </font>
    <font>
      <sz val="11"/>
      <color rgb="FFFF0000"/>
      <name val="Calibri"/>
    </font>
    <font>
      <sz val="11"/>
      <color rgb="FFFFFF00"/>
      <name val="Calibri"/>
    </font>
    <font>
      <sz val="11"/>
      <color rgb="FFFFFFFF"/>
      <name val="Calibri"/>
    </font>
    <font>
      <sz val="11"/>
      <color rgb="FF00B050"/>
      <name val="Calibri"/>
    </font>
    <font>
      <sz val="11"/>
      <color rgb="FFC5E0B4"/>
      <name val="Calibri"/>
    </font>
    <font>
      <b/>
      <sz val="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3F0DA"/>
      </patternFill>
    </fill>
    <fill>
      <patternFill patternType="solid">
        <fgColor rgb="FFFFFF00"/>
      </patternFill>
    </fill>
    <fill>
      <patternFill patternType="solid">
        <fgColor rgb="FFC5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4" fontId="2" fillId="3" borderId="0" xfId="0" applyNumberFormat="1" applyFont="1" applyFill="1"/>
    <xf numFmtId="4" fontId="3" fillId="3" borderId="0" xfId="0" applyNumberFormat="1" applyFont="1" applyFill="1"/>
    <xf numFmtId="4" fontId="4" fillId="3" borderId="0" xfId="0" applyNumberFormat="1" applyFont="1" applyFill="1"/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4" fontId="2" fillId="0" borderId="0" xfId="0" applyNumberFormat="1" applyFont="1" applyAlignment="1">
      <alignment vertical="top" wrapText="1"/>
    </xf>
    <xf numFmtId="4" fontId="3" fillId="0" borderId="0" xfId="0" applyNumberFormat="1" applyFont="1" applyAlignment="1">
      <alignment vertical="top" wrapText="1"/>
    </xf>
    <xf numFmtId="4" fontId="5" fillId="0" borderId="0" xfId="0" applyNumberFormat="1" applyFont="1" applyAlignment="1">
      <alignment vertical="top" wrapText="1"/>
    </xf>
    <xf numFmtId="4" fontId="6" fillId="0" borderId="0" xfId="0" applyNumberFormat="1" applyFont="1" applyAlignment="1">
      <alignment vertical="top" wrapText="1"/>
    </xf>
    <xf numFmtId="0" fontId="0" fillId="4" borderId="0" xfId="0" applyFill="1"/>
    <xf numFmtId="4" fontId="2" fillId="4" borderId="0" xfId="0" applyNumberFormat="1" applyFont="1" applyFill="1"/>
    <xf numFmtId="4" fontId="3" fillId="4" borderId="0" xfId="0" applyNumberFormat="1" applyFont="1" applyFill="1"/>
    <xf numFmtId="4" fontId="7" fillId="4" borderId="0" xfId="0" applyNumberFormat="1" applyFont="1" applyFill="1"/>
    <xf numFmtId="0" fontId="8" fillId="0" borderId="0" xfId="0" applyFont="1"/>
    <xf numFmtId="14" fontId="0" fillId="0" borderId="0" xfId="0" applyNumberFormat="1"/>
    <xf numFmtId="2" fontId="0" fillId="0" borderId="0" xfId="0" applyNumberFormat="1"/>
    <xf numFmtId="0" fontId="3" fillId="0" borderId="0" xfId="0" applyFont="1"/>
    <xf numFmtId="14" fontId="0" fillId="0" borderId="0" xfId="0" applyNumberFormat="1" applyAlignment="1">
      <alignment vertical="top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gPriceJobsByVersionPlanTable" displayName="LogPriceJobsByVersionPlanTable" ref="A2:AI123">
  <autoFilter ref="A2:AI123" xr:uid="{00000000-0009-0000-0100-000001000000}"/>
  <tableColumns count="35">
    <tableColumn id="1" xr3:uid="{00000000-0010-0000-0000-000001000000}" name="#" totalsRowLabel="Total"/>
    <tableColumn id="2" xr3:uid="{00000000-0010-0000-0000-000002000000}" name="Дата"/>
    <tableColumn id="3" xr3:uid="{00000000-0010-0000-0000-000003000000}" name="ФИО"/>
    <tableColumn id="4" xr3:uid="{00000000-0010-0000-0000-000004000000}" name="Должность"/>
    <tableColumn id="5" xr3:uid="{00000000-0010-0000-0000-000005000000}" name="Компания"/>
    <tableColumn id="6" xr3:uid="{00000000-0010-0000-0000-000006000000}" name="Объект ур.1"/>
    <tableColumn id="7" xr3:uid="{00000000-0010-0000-0000-000007000000}" name="Раздел работ"/>
    <tableColumn id="8" xr3:uid="{00000000-0010-0000-0000-000008000000}" name="Работа1 вид/код/тип"/>
    <tableColumn id="9" xr3:uid="{00000000-0010-0000-0000-000009000000}" name="Чел. часы на ед."/>
    <tableColumn id="10" xr3:uid="{00000000-0010-0000-0000-00000A000000}" name="Трудоемкость на объём"/>
    <tableColumn id="11" xr3:uid="{00000000-0010-0000-0000-00000B000000}" name="Исполнитель"/>
    <tableColumn id="12" xr3:uid="{00000000-0010-0000-0000-00000C000000}" name="Работа1"/>
    <tableColumn id="13" xr3:uid="{00000000-0010-0000-0000-00000D000000}" name="Работа1 Ед.1"/>
    <tableColumn id="14" xr3:uid="{00000000-0010-0000-0000-00000E000000}" name="Работа1 значение ед.1"/>
    <tableColumn id="15" xr3:uid="{00000000-0010-0000-0000-00000F000000}" name="Работа1 План"/>
    <tableColumn id="16" xr3:uid="{00000000-0010-0000-0000-000010000000}" name="Стоимость факт"/>
    <tableColumn id="17" xr3:uid="{00000000-0010-0000-0000-000011000000}" name="Стоимость на единицу"/>
    <tableColumn id="18" xr3:uid="{00000000-0010-0000-0000-000012000000}" name="Стоимость план"/>
    <tableColumn id="19" xr3:uid="{00000000-0010-0000-0000-000013000000}" name="Смена"/>
    <tableColumn id="20" xr3:uid="{00000000-0010-0000-0000-000014000000}" name="План смена"/>
    <tableColumn id="21" xr3:uid="{00000000-0010-0000-0000-000015000000}" name="Примечание работа"/>
    <tableColumn id="22" xr3:uid="{00000000-0010-0000-0000-000016000000}" name="Комментарий"/>
    <tableColumn id="23" xr3:uid="{00000000-0010-0000-0000-000017000000}" name="Объект"/>
    <tableColumn id="24" xr3:uid="{00000000-0010-0000-0000-000018000000}" name="Работа2"/>
    <tableColumn id="25" xr3:uid="{00000000-0010-0000-0000-000019000000}" name="Ед. измерения"/>
    <tableColumn id="26" xr3:uid="{00000000-0010-0000-0000-00001A000000}" name="План"/>
    <tableColumn id="27" xr3:uid="{00000000-0010-0000-0000-00001B000000}" name="Зона работы"/>
    <tableColumn id="28" xr3:uid="{00000000-0010-0000-0000-00001C000000}" name="Кол-во чел."/>
    <tableColumn id="29" xr3:uid="{00000000-0010-0000-0000-00001D000000}" name="Чел.часы"/>
    <tableColumn id="30" xr3:uid="{00000000-0010-0000-0000-00001E000000}" name="Кол-во техники"/>
    <tableColumn id="31" xr3:uid="{00000000-0010-0000-0000-00001F000000}" name="Маш.часы"/>
    <tableColumn id="32" xr3:uid="{00000000-0010-0000-0000-000020000000}" name="Утверждён"/>
    <tableColumn id="33" xr3:uid="{00000000-0010-0000-0000-000021000000}" name="Файл1"/>
    <tableColumn id="34" xr3:uid="{00000000-0010-0000-0000-000022000000}" name="Файл2"/>
    <tableColumn id="35" xr3:uid="{00000000-0010-0000-0000-000023000000}" name="Файл3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ogPriceJobsByVersionPlanV2Table" displayName="LogPriceJobsByVersionPlanV2Table" ref="A2:R123">
  <autoFilter ref="A2:R123" xr:uid="{00000000-0009-0000-0100-000002000000}"/>
  <tableColumns count="18">
    <tableColumn id="1" xr3:uid="{00000000-0010-0000-0100-000001000000}" name="#" totalsRowLabel="Total"/>
    <tableColumn id="2" xr3:uid="{00000000-0010-0000-0100-000002000000}" name="Дата"/>
    <tableColumn id="3" xr3:uid="{00000000-0010-0000-0100-000003000000}" name="ФИО"/>
    <tableColumn id="4" xr3:uid="{00000000-0010-0000-0100-000004000000}" name="Должность"/>
    <tableColumn id="5" xr3:uid="{00000000-0010-0000-0100-000005000000}" name="Компания"/>
    <tableColumn id="6" xr3:uid="{00000000-0010-0000-0100-000006000000}" name="Зона работы"/>
    <tableColumn id="7" xr3:uid="{00000000-0010-0000-0100-000007000000}" name="Вид Работы"/>
    <tableColumn id="8" xr3:uid="{00000000-0010-0000-0100-000008000000}" name="Ед. изм"/>
    <tableColumn id="9" xr3:uid="{00000000-0010-0000-0100-000009000000}" name="Выполненный объем за смену"/>
    <tableColumn id="10" xr3:uid="{00000000-0010-0000-0100-00000A000000}" name="Проектный объем"/>
    <tableColumn id="11" xr3:uid="{00000000-0010-0000-0100-00000B000000}" name="Смена"/>
    <tableColumn id="12" xr3:uid="{00000000-0010-0000-0100-00000C000000}" name="Кол-во чел."/>
    <tableColumn id="13" xr3:uid="{00000000-0010-0000-0100-00000D000000}" name="Чел.часы"/>
    <tableColumn id="14" xr3:uid="{00000000-0010-0000-0100-00000E000000}" name="Кол-во техники"/>
    <tableColumn id="15" xr3:uid="{00000000-0010-0000-0100-00000F000000}" name="Маш.часы"/>
    <tableColumn id="16" xr3:uid="{00000000-0010-0000-0100-000010000000}" name="Утверждён"/>
    <tableColumn id="17" xr3:uid="{00000000-0010-0000-0100-000011000000}" name="Примечание работа"/>
    <tableColumn id="18" xr3:uid="{00000000-0010-0000-0100-000012000000}" name="Комментарий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irebasestorage.googleapis.com/v0/b/stroybots-prod.appspot.com/o/reports%2Ffb144cc7-ff4e-469a-9673-2fc7e842014d.jpg?alt=media&amp;token=f4c03f8a-2a0a-44d6-b840-0620dd84b3bd" TargetMode="External"/><Relationship Id="rId3" Type="http://schemas.openxmlformats.org/officeDocument/2006/relationships/hyperlink" Target="https://firebasestorage.googleapis.com/v0/b/stroybots-prod.appspot.com/o/reports%2Fe9725cf6-1109-47c5-873e-93b24fb2d580.jpg?alt=media&amp;token=02b4e119-55b2-487a-87f2-9102dba6eabd" TargetMode="External"/><Relationship Id="rId7" Type="http://schemas.openxmlformats.org/officeDocument/2006/relationships/hyperlink" Target="https://firebasestorage.googleapis.com/v0/b/stroybots-prod.appspot.com/o/reports%2Ff56f052c-55d1-4a7b-b5ff-8eaa7452feaf.jpg?alt=media&amp;token=d1d019d5-554b-43d7-8b60-5272cdaa4735" TargetMode="External"/><Relationship Id="rId2" Type="http://schemas.openxmlformats.org/officeDocument/2006/relationships/hyperlink" Target="https://firebasestorage.googleapis.com/v0/b/stroybots-prod.appspot.com/o/reports%2Faebb04e7-c089-46b0-9f3a-54487f81b0b7.jpeg?alt=media&amp;token=c7a53f4b-43b6-4657-9ede-23700ca415f9" TargetMode="External"/><Relationship Id="rId1" Type="http://schemas.openxmlformats.org/officeDocument/2006/relationships/hyperlink" Target="https://firebasestorage.googleapis.com/v0/b/stroybots-prod.appspot.com/o/reports%2F57c7bf84-7870-42bf-af8b-e300cef9051d.jpg?alt=media&amp;token=ffb64686-2125-447f-8456-1f09e7bc7b2b" TargetMode="External"/><Relationship Id="rId6" Type="http://schemas.openxmlformats.org/officeDocument/2006/relationships/hyperlink" Target="https://firebasestorage.googleapis.com/v0/b/stroybots-prod.appspot.com/o/reports%2F2f5aaa81-55c6-486b-8a4e-99a6aad8fd85.jpg?alt=media&amp;token=1d5865cd-d09c-45b3-806d-65b35f20449b" TargetMode="External"/><Relationship Id="rId5" Type="http://schemas.openxmlformats.org/officeDocument/2006/relationships/hyperlink" Target="https://firebasestorage.googleapis.com/v0/b/stroybots-prod.appspot.com/o/reports%2F81e686a3-feb4-497e-b16a-70a64c2591f5.jpg?alt=media&amp;token=62a669da-4cd6-457a-9e08-68edaa5b9430" TargetMode="External"/><Relationship Id="rId4" Type="http://schemas.openxmlformats.org/officeDocument/2006/relationships/hyperlink" Target="https://firebasestorage.googleapis.com/v0/b/stroybots-prod.appspot.com/o/reports%2Ffe40e35f-f5f0-4682-80d3-12fac0d5dc83.jpg?alt=media&amp;token=aca4dd8b-f7e3-429b-a40c-af613e656f3c" TargetMode="External"/><Relationship Id="rId9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4"/>
  <sheetViews>
    <sheetView tabSelected="1" workbookViewId="0">
      <selection activeCell="C8" sqref="C8"/>
    </sheetView>
  </sheetViews>
  <sheetFormatPr defaultRowHeight="14.5" x14ac:dyDescent="0.35"/>
  <cols>
    <col min="1" max="1" width="15" customWidth="1"/>
    <col min="2" max="2" width="50" customWidth="1"/>
    <col min="3" max="3" width="30" customWidth="1"/>
    <col min="4" max="4" width="8" customWidth="1"/>
    <col min="5" max="12" width="17" customWidth="1"/>
    <col min="14" max="111" width="20" customWidth="1"/>
  </cols>
  <sheetData>
    <row r="1" spans="1:111" x14ac:dyDescent="0.35">
      <c r="A1" s="21" t="s">
        <v>0</v>
      </c>
      <c r="B1" s="21"/>
      <c r="C1" s="21"/>
      <c r="D1" s="21"/>
    </row>
    <row r="2" spans="1:111" x14ac:dyDescent="0.35">
      <c r="A2" s="21" t="s">
        <v>1</v>
      </c>
      <c r="B2" s="21"/>
      <c r="C2" s="21"/>
      <c r="D2" s="21"/>
    </row>
    <row r="3" spans="1:111" ht="15" x14ac:dyDescent="0.35">
      <c r="A3" s="22" t="s">
        <v>2</v>
      </c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2"/>
      <c r="H3" s="22"/>
      <c r="I3" s="22"/>
      <c r="J3" s="22" t="s">
        <v>8</v>
      </c>
      <c r="K3" s="22"/>
      <c r="L3" s="22"/>
      <c r="M3" s="22"/>
      <c r="N3" s="23">
        <v>45203</v>
      </c>
      <c r="O3" s="23"/>
      <c r="P3" s="23">
        <v>45214</v>
      </c>
      <c r="Q3" s="23"/>
      <c r="R3" s="23">
        <v>45215</v>
      </c>
      <c r="S3" s="23"/>
      <c r="T3" s="23">
        <v>45223</v>
      </c>
      <c r="U3" s="23"/>
      <c r="V3" s="23">
        <v>45240</v>
      </c>
      <c r="W3" s="23"/>
      <c r="X3" s="23">
        <v>45268</v>
      </c>
      <c r="Y3" s="23"/>
      <c r="Z3" s="23">
        <v>45309</v>
      </c>
      <c r="AA3" s="23"/>
      <c r="AB3" s="23">
        <v>45342</v>
      </c>
      <c r="AC3" s="23"/>
      <c r="AD3" s="23">
        <v>45351</v>
      </c>
      <c r="AE3" s="23"/>
      <c r="AF3" s="23">
        <v>45384</v>
      </c>
      <c r="AG3" s="23"/>
      <c r="AH3" s="23">
        <v>45394</v>
      </c>
      <c r="AI3" s="23"/>
      <c r="AJ3" s="23">
        <v>45415</v>
      </c>
      <c r="AK3" s="23"/>
      <c r="AL3" s="23">
        <v>45425</v>
      </c>
      <c r="AM3" s="23"/>
      <c r="AN3" s="23">
        <v>45426</v>
      </c>
      <c r="AO3" s="23"/>
      <c r="AP3" s="23">
        <v>45440</v>
      </c>
      <c r="AQ3" s="23"/>
      <c r="AR3" s="23">
        <v>45450</v>
      </c>
      <c r="AS3" s="23"/>
      <c r="AT3" s="23">
        <v>45491</v>
      </c>
      <c r="AU3" s="23"/>
      <c r="AV3" s="23">
        <v>45492</v>
      </c>
      <c r="AW3" s="23"/>
      <c r="AX3" s="23">
        <v>45511</v>
      </c>
      <c r="AY3" s="23"/>
      <c r="AZ3" s="23">
        <v>45544</v>
      </c>
      <c r="BA3" s="23"/>
      <c r="BB3" s="23">
        <v>45581</v>
      </c>
      <c r="BC3" s="23"/>
      <c r="BD3" s="23">
        <v>45583</v>
      </c>
      <c r="BE3" s="23"/>
      <c r="BF3" s="23">
        <v>45622</v>
      </c>
      <c r="BG3" s="23"/>
      <c r="BH3" s="23">
        <v>45624</v>
      </c>
      <c r="BI3" s="23"/>
      <c r="BJ3" s="23">
        <v>45630</v>
      </c>
      <c r="BK3" s="23"/>
      <c r="BL3" s="23">
        <v>45631</v>
      </c>
      <c r="BM3" s="23"/>
      <c r="BN3" s="23">
        <v>45666</v>
      </c>
      <c r="BO3" s="23"/>
      <c r="BP3" s="23">
        <v>45679</v>
      </c>
      <c r="BQ3" s="23"/>
      <c r="BR3" s="23">
        <v>45686</v>
      </c>
      <c r="BS3" s="23"/>
      <c r="BT3" s="23">
        <v>45699</v>
      </c>
      <c r="BU3" s="23"/>
      <c r="BV3" s="23">
        <v>45706</v>
      </c>
      <c r="BW3" s="23"/>
      <c r="BX3" s="23">
        <v>45819</v>
      </c>
      <c r="BY3" s="23"/>
      <c r="BZ3" s="23">
        <v>45824</v>
      </c>
      <c r="CA3" s="23"/>
      <c r="CB3" s="23">
        <v>45825</v>
      </c>
      <c r="CC3" s="23"/>
      <c r="CD3" s="23">
        <v>45828</v>
      </c>
      <c r="CE3" s="23"/>
      <c r="CF3" s="23">
        <v>45839</v>
      </c>
      <c r="CG3" s="23"/>
      <c r="CH3" s="23">
        <v>45845</v>
      </c>
      <c r="CI3" s="23"/>
      <c r="CJ3" s="23">
        <v>45846</v>
      </c>
      <c r="CK3" s="23"/>
      <c r="CL3" s="23">
        <v>45853</v>
      </c>
      <c r="CM3" s="23"/>
      <c r="CN3" s="23">
        <v>45854</v>
      </c>
      <c r="CO3" s="23"/>
      <c r="CP3" s="23">
        <v>45855</v>
      </c>
      <c r="CQ3" s="23"/>
      <c r="CR3" s="23">
        <v>45877</v>
      </c>
      <c r="CS3" s="23"/>
      <c r="CT3" s="23">
        <v>45923</v>
      </c>
      <c r="CU3" s="23"/>
      <c r="CV3" s="23">
        <v>45924</v>
      </c>
      <c r="CW3" s="23"/>
      <c r="CX3" s="23">
        <v>45937</v>
      </c>
      <c r="CY3" s="23"/>
      <c r="CZ3" s="23">
        <v>45950</v>
      </c>
      <c r="DA3" s="23"/>
      <c r="DB3" s="23">
        <v>45961</v>
      </c>
      <c r="DC3" s="23"/>
      <c r="DD3" s="23">
        <v>45967</v>
      </c>
      <c r="DE3" s="23"/>
      <c r="DF3" s="23">
        <v>45968</v>
      </c>
      <c r="DG3" s="23"/>
    </row>
    <row r="4" spans="1:111" ht="33.4" customHeight="1" x14ac:dyDescent="0.35">
      <c r="A4" s="22"/>
      <c r="B4" s="22"/>
      <c r="C4" s="22"/>
      <c r="D4" s="22"/>
      <c r="E4" s="22"/>
      <c r="F4" s="1" t="s">
        <v>9</v>
      </c>
      <c r="G4" s="1" t="s">
        <v>10</v>
      </c>
      <c r="H4" s="1" t="s">
        <v>11</v>
      </c>
      <c r="I4" s="1" t="s">
        <v>12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13</v>
      </c>
      <c r="Q4" s="1" t="s">
        <v>14</v>
      </c>
      <c r="R4" s="1" t="s">
        <v>13</v>
      </c>
      <c r="S4" s="1" t="s">
        <v>14</v>
      </c>
      <c r="T4" s="1" t="s">
        <v>13</v>
      </c>
      <c r="U4" s="1" t="s">
        <v>14</v>
      </c>
      <c r="V4" s="1" t="s">
        <v>13</v>
      </c>
      <c r="W4" s="1" t="s">
        <v>14</v>
      </c>
      <c r="X4" s="1" t="s">
        <v>13</v>
      </c>
      <c r="Y4" s="1" t="s">
        <v>14</v>
      </c>
      <c r="Z4" s="1" t="s">
        <v>13</v>
      </c>
      <c r="AA4" s="1" t="s">
        <v>14</v>
      </c>
      <c r="AB4" s="1" t="s">
        <v>13</v>
      </c>
      <c r="AC4" s="1" t="s">
        <v>14</v>
      </c>
      <c r="AD4" s="1" t="s">
        <v>13</v>
      </c>
      <c r="AE4" s="1" t="s">
        <v>14</v>
      </c>
      <c r="AF4" s="1" t="s">
        <v>13</v>
      </c>
      <c r="AG4" s="1" t="s">
        <v>14</v>
      </c>
      <c r="AH4" s="1" t="s">
        <v>13</v>
      </c>
      <c r="AI4" s="1" t="s">
        <v>14</v>
      </c>
      <c r="AJ4" s="1" t="s">
        <v>13</v>
      </c>
      <c r="AK4" s="1" t="s">
        <v>14</v>
      </c>
      <c r="AL4" s="1" t="s">
        <v>13</v>
      </c>
      <c r="AM4" s="1" t="s">
        <v>14</v>
      </c>
      <c r="AN4" s="1" t="s">
        <v>13</v>
      </c>
      <c r="AO4" s="1" t="s">
        <v>14</v>
      </c>
      <c r="AP4" s="1" t="s">
        <v>13</v>
      </c>
      <c r="AQ4" s="1" t="s">
        <v>14</v>
      </c>
      <c r="AR4" s="1" t="s">
        <v>13</v>
      </c>
      <c r="AS4" s="1" t="s">
        <v>14</v>
      </c>
      <c r="AT4" s="1" t="s">
        <v>13</v>
      </c>
      <c r="AU4" s="1" t="s">
        <v>14</v>
      </c>
      <c r="AV4" s="1" t="s">
        <v>13</v>
      </c>
      <c r="AW4" s="1" t="s">
        <v>14</v>
      </c>
      <c r="AX4" s="1" t="s">
        <v>13</v>
      </c>
      <c r="AY4" s="1" t="s">
        <v>14</v>
      </c>
      <c r="AZ4" s="1" t="s">
        <v>13</v>
      </c>
      <c r="BA4" s="1" t="s">
        <v>14</v>
      </c>
      <c r="BB4" s="1" t="s">
        <v>13</v>
      </c>
      <c r="BC4" s="1" t="s">
        <v>14</v>
      </c>
      <c r="BD4" s="1" t="s">
        <v>13</v>
      </c>
      <c r="BE4" s="1" t="s">
        <v>14</v>
      </c>
      <c r="BF4" s="1" t="s">
        <v>13</v>
      </c>
      <c r="BG4" s="1" t="s">
        <v>14</v>
      </c>
      <c r="BH4" s="1" t="s">
        <v>13</v>
      </c>
      <c r="BI4" s="1" t="s">
        <v>14</v>
      </c>
      <c r="BJ4" s="1" t="s">
        <v>13</v>
      </c>
      <c r="BK4" s="1" t="s">
        <v>14</v>
      </c>
      <c r="BL4" s="1" t="s">
        <v>13</v>
      </c>
      <c r="BM4" s="1" t="s">
        <v>14</v>
      </c>
      <c r="BN4" s="1" t="s">
        <v>13</v>
      </c>
      <c r="BO4" s="1" t="s">
        <v>14</v>
      </c>
      <c r="BP4" s="1" t="s">
        <v>13</v>
      </c>
      <c r="BQ4" s="1" t="s">
        <v>14</v>
      </c>
      <c r="BR4" s="1" t="s">
        <v>13</v>
      </c>
      <c r="BS4" s="1" t="s">
        <v>14</v>
      </c>
      <c r="BT4" s="1" t="s">
        <v>13</v>
      </c>
      <c r="BU4" s="1" t="s">
        <v>14</v>
      </c>
      <c r="BV4" s="1" t="s">
        <v>13</v>
      </c>
      <c r="BW4" s="1" t="s">
        <v>14</v>
      </c>
      <c r="BX4" s="1" t="s">
        <v>13</v>
      </c>
      <c r="BY4" s="1" t="s">
        <v>14</v>
      </c>
      <c r="BZ4" s="1" t="s">
        <v>13</v>
      </c>
      <c r="CA4" s="1" t="s">
        <v>14</v>
      </c>
      <c r="CB4" s="1" t="s">
        <v>13</v>
      </c>
      <c r="CC4" s="1" t="s">
        <v>14</v>
      </c>
      <c r="CD4" s="1" t="s">
        <v>13</v>
      </c>
      <c r="CE4" s="1" t="s">
        <v>14</v>
      </c>
      <c r="CF4" s="1" t="s">
        <v>13</v>
      </c>
      <c r="CG4" s="1" t="s">
        <v>14</v>
      </c>
      <c r="CH4" s="1" t="s">
        <v>13</v>
      </c>
      <c r="CI4" s="1" t="s">
        <v>14</v>
      </c>
      <c r="CJ4" s="1" t="s">
        <v>13</v>
      </c>
      <c r="CK4" s="1" t="s">
        <v>14</v>
      </c>
      <c r="CL4" s="1" t="s">
        <v>13</v>
      </c>
      <c r="CM4" s="1" t="s">
        <v>14</v>
      </c>
      <c r="CN4" s="1" t="s">
        <v>13</v>
      </c>
      <c r="CO4" s="1" t="s">
        <v>14</v>
      </c>
      <c r="CP4" s="1" t="s">
        <v>13</v>
      </c>
      <c r="CQ4" s="1" t="s">
        <v>14</v>
      </c>
      <c r="CR4" s="1" t="s">
        <v>13</v>
      </c>
      <c r="CS4" s="1" t="s">
        <v>14</v>
      </c>
      <c r="CT4" s="1" t="s">
        <v>13</v>
      </c>
      <c r="CU4" s="1" t="s">
        <v>14</v>
      </c>
      <c r="CV4" s="1" t="s">
        <v>13</v>
      </c>
      <c r="CW4" s="1" t="s">
        <v>14</v>
      </c>
      <c r="CX4" s="1" t="s">
        <v>13</v>
      </c>
      <c r="CY4" s="1" t="s">
        <v>14</v>
      </c>
      <c r="CZ4" s="1" t="s">
        <v>13</v>
      </c>
      <c r="DA4" s="1" t="s">
        <v>14</v>
      </c>
      <c r="DB4" s="1" t="s">
        <v>13</v>
      </c>
      <c r="DC4" s="1" t="s">
        <v>14</v>
      </c>
      <c r="DD4" s="1" t="s">
        <v>13</v>
      </c>
      <c r="DE4" s="1" t="s">
        <v>14</v>
      </c>
      <c r="DF4" s="1" t="s">
        <v>13</v>
      </c>
      <c r="DG4" s="1" t="s">
        <v>14</v>
      </c>
    </row>
    <row r="5" spans="1:111" x14ac:dyDescent="0.35">
      <c r="A5" s="2" t="s">
        <v>15</v>
      </c>
      <c r="B5" s="2" t="s">
        <v>16</v>
      </c>
      <c r="C5" s="2" t="s">
        <v>17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3">
        <v>2679001.6239999998</v>
      </c>
      <c r="K5" s="3">
        <v>1827663.6240000001</v>
      </c>
      <c r="L5" s="3">
        <v>-851337.99999999977</v>
      </c>
      <c r="M5" s="4">
        <v>68.221818442615472</v>
      </c>
      <c r="N5" s="2" t="s">
        <v>17</v>
      </c>
      <c r="O5" s="3">
        <v>21561</v>
      </c>
      <c r="P5" s="2" t="s">
        <v>17</v>
      </c>
      <c r="Q5" s="3">
        <v>660</v>
      </c>
      <c r="R5" s="2" t="s">
        <v>17</v>
      </c>
      <c r="S5" s="3">
        <v>8664</v>
      </c>
      <c r="T5" s="2" t="s">
        <v>17</v>
      </c>
      <c r="U5" s="3">
        <v>2470</v>
      </c>
      <c r="V5" s="2" t="s">
        <v>17</v>
      </c>
      <c r="W5" s="3">
        <v>1520</v>
      </c>
      <c r="X5" s="2" t="s">
        <v>17</v>
      </c>
      <c r="Y5" s="3">
        <v>1710</v>
      </c>
      <c r="Z5" s="2" t="s">
        <v>17</v>
      </c>
      <c r="AA5" s="5">
        <v>0</v>
      </c>
      <c r="AB5" s="2" t="s">
        <v>17</v>
      </c>
      <c r="AC5" s="3">
        <v>2470</v>
      </c>
      <c r="AD5" s="2" t="s">
        <v>17</v>
      </c>
      <c r="AE5" s="3">
        <v>3420</v>
      </c>
      <c r="AF5" s="2" t="s">
        <v>17</v>
      </c>
      <c r="AG5" s="3">
        <v>11000</v>
      </c>
      <c r="AH5" s="2" t="s">
        <v>17</v>
      </c>
      <c r="AI5" s="3">
        <v>15200</v>
      </c>
      <c r="AJ5" s="2" t="s">
        <v>17</v>
      </c>
      <c r="AK5" s="3">
        <v>27649</v>
      </c>
      <c r="AL5" s="2" t="s">
        <v>17</v>
      </c>
      <c r="AM5" s="3">
        <v>1430</v>
      </c>
      <c r="AN5" s="2" t="s">
        <v>17</v>
      </c>
      <c r="AO5" s="3">
        <v>5948</v>
      </c>
      <c r="AP5" s="2" t="s">
        <v>17</v>
      </c>
      <c r="AQ5" s="3">
        <v>8745</v>
      </c>
      <c r="AR5" s="2" t="s">
        <v>17</v>
      </c>
      <c r="AS5" s="3">
        <v>17705</v>
      </c>
      <c r="AT5" s="2" t="s">
        <v>17</v>
      </c>
      <c r="AU5" s="3">
        <v>660</v>
      </c>
      <c r="AV5" s="2" t="s">
        <v>17</v>
      </c>
      <c r="AW5" s="3">
        <v>1200</v>
      </c>
      <c r="AX5" s="2" t="s">
        <v>17</v>
      </c>
      <c r="AY5" s="3">
        <v>2700</v>
      </c>
      <c r="AZ5" s="2" t="s">
        <v>17</v>
      </c>
      <c r="BA5" s="3">
        <v>6130</v>
      </c>
      <c r="BB5" s="2" t="s">
        <v>17</v>
      </c>
      <c r="BC5" s="3">
        <v>60964</v>
      </c>
      <c r="BD5" s="2" t="s">
        <v>17</v>
      </c>
      <c r="BE5" s="3">
        <v>1584</v>
      </c>
      <c r="BF5" s="2" t="s">
        <v>17</v>
      </c>
      <c r="BG5" s="3">
        <v>2717</v>
      </c>
      <c r="BH5" s="2" t="s">
        <v>17</v>
      </c>
      <c r="BI5" s="3">
        <v>5104</v>
      </c>
      <c r="BJ5" s="2" t="s">
        <v>17</v>
      </c>
      <c r="BK5" s="3">
        <v>2470</v>
      </c>
      <c r="BL5" s="2" t="s">
        <v>17</v>
      </c>
      <c r="BM5" s="3">
        <v>2090</v>
      </c>
      <c r="BN5" s="2" t="s">
        <v>17</v>
      </c>
      <c r="BO5" s="3">
        <v>4690</v>
      </c>
      <c r="BP5" s="2" t="s">
        <v>17</v>
      </c>
      <c r="BQ5" s="3">
        <v>4460</v>
      </c>
      <c r="BR5" s="2" t="s">
        <v>17</v>
      </c>
      <c r="BS5" s="3">
        <v>6260</v>
      </c>
      <c r="BT5" s="2" t="s">
        <v>17</v>
      </c>
      <c r="BU5" s="3">
        <v>3420</v>
      </c>
      <c r="BV5" s="2" t="s">
        <v>17</v>
      </c>
      <c r="BW5" s="3">
        <v>825</v>
      </c>
      <c r="BX5" s="2" t="s">
        <v>17</v>
      </c>
      <c r="BY5" s="3">
        <v>24161</v>
      </c>
      <c r="BZ5" s="2" t="s">
        <v>17</v>
      </c>
      <c r="CA5" s="3">
        <v>5130</v>
      </c>
      <c r="CB5" s="2" t="s">
        <v>17</v>
      </c>
      <c r="CC5" s="3">
        <v>13100</v>
      </c>
      <c r="CD5" s="2" t="s">
        <v>17</v>
      </c>
      <c r="CE5" s="3">
        <v>36559</v>
      </c>
      <c r="CF5" s="2" t="s">
        <v>17</v>
      </c>
      <c r="CG5" s="3">
        <v>223859</v>
      </c>
      <c r="CH5" s="2" t="s">
        <v>17</v>
      </c>
      <c r="CI5" s="3">
        <v>22400</v>
      </c>
      <c r="CJ5" s="2" t="s">
        <v>17</v>
      </c>
      <c r="CK5" s="3">
        <v>32984</v>
      </c>
      <c r="CL5" s="2" t="s">
        <v>17</v>
      </c>
      <c r="CM5" s="3">
        <v>41704</v>
      </c>
      <c r="CN5" s="2" t="s">
        <v>17</v>
      </c>
      <c r="CO5" s="3">
        <v>40428</v>
      </c>
      <c r="CP5" s="2" t="s">
        <v>17</v>
      </c>
      <c r="CQ5" s="3">
        <v>3685</v>
      </c>
      <c r="CR5" s="2" t="s">
        <v>17</v>
      </c>
      <c r="CS5" s="3">
        <v>14782</v>
      </c>
      <c r="CT5" s="2" t="s">
        <v>17</v>
      </c>
      <c r="CU5" s="3">
        <v>44765</v>
      </c>
      <c r="CV5" s="2" t="s">
        <v>17</v>
      </c>
      <c r="CW5" s="3">
        <v>1045619.6000000001</v>
      </c>
      <c r="CX5" s="2" t="s">
        <v>17</v>
      </c>
      <c r="CY5" s="3">
        <v>5460</v>
      </c>
      <c r="CZ5" s="2" t="s">
        <v>17</v>
      </c>
      <c r="DA5" s="3">
        <v>7425</v>
      </c>
      <c r="DB5" s="2" t="s">
        <v>17</v>
      </c>
      <c r="DC5" s="3">
        <v>3630</v>
      </c>
      <c r="DD5" s="2" t="s">
        <v>17</v>
      </c>
      <c r="DE5" s="3">
        <v>21086</v>
      </c>
      <c r="DF5" s="2" t="s">
        <v>17</v>
      </c>
      <c r="DG5" s="3">
        <v>5460</v>
      </c>
    </row>
    <row r="6" spans="1:111" ht="29.4" customHeight="1" x14ac:dyDescent="0.35">
      <c r="A6" s="6" t="s">
        <v>18</v>
      </c>
      <c r="B6" s="6" t="s">
        <v>19</v>
      </c>
      <c r="C6" s="6" t="s">
        <v>20</v>
      </c>
      <c r="D6" s="6" t="s">
        <v>21</v>
      </c>
      <c r="E6" s="7">
        <v>165</v>
      </c>
      <c r="F6" s="8">
        <v>192</v>
      </c>
      <c r="G6" s="8">
        <v>175</v>
      </c>
      <c r="H6" s="8">
        <f t="shared" ref="H6:H13" si="0">G6 - F6</f>
        <v>-17</v>
      </c>
      <c r="I6" s="9">
        <f t="shared" ref="I6:I13" si="1">IF(OR(F6=0,G6=0),0,(G6/F6)*100)</f>
        <v>91.145833333333343</v>
      </c>
      <c r="J6" s="8">
        <v>31680</v>
      </c>
      <c r="K6" s="8">
        <v>28875</v>
      </c>
      <c r="L6" s="8">
        <f t="shared" ref="L6:L13" si="2">K6 - J6</f>
        <v>-2805</v>
      </c>
      <c r="M6" s="9">
        <f t="shared" ref="M6:M13" si="3">IF(OR(J6=0,K6=0),0,(K6/J6)*100)</f>
        <v>91.145833333333343</v>
      </c>
      <c r="N6" s="8">
        <v>4</v>
      </c>
      <c r="O6" s="8">
        <v>660</v>
      </c>
      <c r="P6" s="8">
        <v>4</v>
      </c>
      <c r="Q6" s="8">
        <v>660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8">
        <v>5</v>
      </c>
      <c r="AK6" s="8">
        <v>825</v>
      </c>
      <c r="AL6" s="8">
        <v>5</v>
      </c>
      <c r="AM6" s="8">
        <v>825</v>
      </c>
      <c r="AN6" s="10">
        <v>0</v>
      </c>
      <c r="AO6" s="10">
        <v>0</v>
      </c>
      <c r="AP6" s="8">
        <v>3</v>
      </c>
      <c r="AQ6" s="8">
        <v>495</v>
      </c>
      <c r="AR6" s="10">
        <v>0</v>
      </c>
      <c r="AS6" s="10">
        <v>0</v>
      </c>
      <c r="AT6" s="8">
        <v>4</v>
      </c>
      <c r="AU6" s="8">
        <v>660</v>
      </c>
      <c r="AV6" s="10">
        <v>0</v>
      </c>
      <c r="AW6" s="10">
        <v>0</v>
      </c>
      <c r="AX6" s="8">
        <v>6</v>
      </c>
      <c r="AY6" s="8">
        <v>990</v>
      </c>
      <c r="AZ6" s="8">
        <v>4</v>
      </c>
      <c r="BA6" s="8">
        <v>660</v>
      </c>
      <c r="BB6" s="10">
        <v>0</v>
      </c>
      <c r="BC6" s="10">
        <v>0</v>
      </c>
      <c r="BD6" s="8">
        <v>2</v>
      </c>
      <c r="BE6" s="8">
        <v>330</v>
      </c>
      <c r="BF6" s="8">
        <v>3</v>
      </c>
      <c r="BG6" s="8">
        <v>495</v>
      </c>
      <c r="BH6" s="8">
        <v>10</v>
      </c>
      <c r="BI6" s="8">
        <v>1650</v>
      </c>
      <c r="BJ6" s="10">
        <v>0</v>
      </c>
      <c r="BK6" s="10">
        <v>0</v>
      </c>
      <c r="BL6" s="10">
        <v>0</v>
      </c>
      <c r="BM6" s="10">
        <v>0</v>
      </c>
      <c r="BN6" s="8">
        <v>10</v>
      </c>
      <c r="BO6" s="8">
        <v>1650</v>
      </c>
      <c r="BP6" s="8">
        <v>4</v>
      </c>
      <c r="BQ6" s="8">
        <v>660</v>
      </c>
      <c r="BR6" s="8">
        <v>4</v>
      </c>
      <c r="BS6" s="8">
        <v>660</v>
      </c>
      <c r="BT6" s="10">
        <v>0</v>
      </c>
      <c r="BU6" s="10">
        <v>0</v>
      </c>
      <c r="BV6" s="8">
        <v>5</v>
      </c>
      <c r="BW6" s="8">
        <v>825</v>
      </c>
      <c r="BX6" s="8">
        <v>29</v>
      </c>
      <c r="BY6" s="8">
        <v>4785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8">
        <v>6</v>
      </c>
      <c r="CQ6" s="8">
        <v>990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8">
        <v>45</v>
      </c>
      <c r="DA6" s="8">
        <v>7425</v>
      </c>
      <c r="DB6" s="8">
        <v>22</v>
      </c>
      <c r="DC6" s="8">
        <v>3630</v>
      </c>
      <c r="DD6" s="10">
        <v>0</v>
      </c>
      <c r="DE6" s="10">
        <v>0</v>
      </c>
      <c r="DF6" s="10">
        <v>0</v>
      </c>
      <c r="DG6" s="10">
        <v>0</v>
      </c>
    </row>
    <row r="7" spans="1:111" ht="13.4" customHeight="1" x14ac:dyDescent="0.35">
      <c r="A7" s="6" t="s">
        <v>22</v>
      </c>
      <c r="B7" s="6" t="s">
        <v>23</v>
      </c>
      <c r="C7" s="6" t="s">
        <v>20</v>
      </c>
      <c r="D7" s="6" t="s">
        <v>24</v>
      </c>
      <c r="E7" s="7">
        <v>55</v>
      </c>
      <c r="F7" s="8">
        <v>1176</v>
      </c>
      <c r="G7" s="8">
        <v>1747</v>
      </c>
      <c r="H7" s="8">
        <f t="shared" si="0"/>
        <v>571</v>
      </c>
      <c r="I7" s="11">
        <f t="shared" si="1"/>
        <v>148.55442176870747</v>
      </c>
      <c r="J7" s="8">
        <v>64680</v>
      </c>
      <c r="K7" s="8">
        <v>96085</v>
      </c>
      <c r="L7" s="8">
        <f t="shared" si="2"/>
        <v>31405</v>
      </c>
      <c r="M7" s="11">
        <f t="shared" si="3"/>
        <v>148.55442176870747</v>
      </c>
      <c r="N7" s="8">
        <v>145</v>
      </c>
      <c r="O7" s="8">
        <v>7975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8">
        <v>200</v>
      </c>
      <c r="AG7" s="8">
        <v>11000</v>
      </c>
      <c r="AH7" s="10">
        <v>0</v>
      </c>
      <c r="AI7" s="10">
        <v>0</v>
      </c>
      <c r="AJ7" s="8">
        <v>420</v>
      </c>
      <c r="AK7" s="8">
        <v>23100</v>
      </c>
      <c r="AL7" s="8">
        <v>11</v>
      </c>
      <c r="AM7" s="8">
        <v>605</v>
      </c>
      <c r="AN7" s="10">
        <v>0</v>
      </c>
      <c r="AO7" s="10">
        <v>0</v>
      </c>
      <c r="AP7" s="8">
        <v>150</v>
      </c>
      <c r="AQ7" s="8">
        <v>8250</v>
      </c>
      <c r="AR7" s="8">
        <v>277</v>
      </c>
      <c r="AS7" s="8">
        <v>15235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8">
        <v>10</v>
      </c>
      <c r="BG7" s="8">
        <v>550</v>
      </c>
      <c r="BH7" s="8">
        <v>40</v>
      </c>
      <c r="BI7" s="8">
        <v>2200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8">
        <v>445</v>
      </c>
      <c r="CE7" s="8">
        <v>24475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8">
        <v>49</v>
      </c>
      <c r="CQ7" s="8">
        <v>2695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</row>
    <row r="8" spans="1:111" ht="13.4" customHeight="1" x14ac:dyDescent="0.35">
      <c r="A8" s="6" t="s">
        <v>25</v>
      </c>
      <c r="B8" s="6" t="s">
        <v>26</v>
      </c>
      <c r="C8" s="6" t="s">
        <v>20</v>
      </c>
      <c r="D8" s="6" t="s">
        <v>21</v>
      </c>
      <c r="E8" s="7">
        <v>300</v>
      </c>
      <c r="F8" s="8">
        <v>54</v>
      </c>
      <c r="G8" s="8">
        <v>78</v>
      </c>
      <c r="H8" s="8">
        <f t="shared" si="0"/>
        <v>24</v>
      </c>
      <c r="I8" s="11">
        <f t="shared" si="1"/>
        <v>144.44444444444443</v>
      </c>
      <c r="J8" s="8">
        <v>16200</v>
      </c>
      <c r="K8" s="8">
        <v>23400</v>
      </c>
      <c r="L8" s="8">
        <f t="shared" si="2"/>
        <v>7200</v>
      </c>
      <c r="M8" s="11">
        <f t="shared" si="3"/>
        <v>144.44444444444443</v>
      </c>
      <c r="N8" s="8">
        <v>8</v>
      </c>
      <c r="O8" s="8">
        <v>2400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8">
        <v>14</v>
      </c>
      <c r="AO8" s="8">
        <v>4200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8">
        <v>4</v>
      </c>
      <c r="AW8" s="8">
        <v>1200</v>
      </c>
      <c r="AX8" s="10">
        <v>0</v>
      </c>
      <c r="AY8" s="10">
        <v>0</v>
      </c>
      <c r="AZ8" s="8">
        <v>10</v>
      </c>
      <c r="BA8" s="8">
        <v>3000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8">
        <v>6</v>
      </c>
      <c r="BS8" s="8">
        <v>1800</v>
      </c>
      <c r="BT8" s="10">
        <v>0</v>
      </c>
      <c r="BU8" s="10">
        <v>0</v>
      </c>
      <c r="BV8" s="10">
        <v>0</v>
      </c>
      <c r="BW8" s="10">
        <v>0</v>
      </c>
      <c r="BX8" s="8">
        <v>34</v>
      </c>
      <c r="BY8" s="8">
        <v>10200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8">
        <v>2</v>
      </c>
      <c r="CO8" s="8">
        <v>600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</row>
    <row r="9" spans="1:111" ht="13.4" customHeight="1" x14ac:dyDescent="0.35">
      <c r="A9" s="6" t="s">
        <v>27</v>
      </c>
      <c r="B9" s="6" t="s">
        <v>28</v>
      </c>
      <c r="C9" s="6" t="s">
        <v>20</v>
      </c>
      <c r="D9" s="6" t="s">
        <v>24</v>
      </c>
      <c r="E9" s="7">
        <v>38</v>
      </c>
      <c r="F9" s="8">
        <v>19669.824000000001</v>
      </c>
      <c r="G9" s="8">
        <v>14443.824000000001</v>
      </c>
      <c r="H9" s="8">
        <f t="shared" si="0"/>
        <v>-5226</v>
      </c>
      <c r="I9" s="9">
        <f t="shared" si="1"/>
        <v>73.431384032719365</v>
      </c>
      <c r="J9" s="8">
        <v>747453.31200000003</v>
      </c>
      <c r="K9" s="8">
        <v>548865.31200000003</v>
      </c>
      <c r="L9" s="8">
        <f t="shared" si="2"/>
        <v>-198588</v>
      </c>
      <c r="M9" s="9">
        <f t="shared" si="3"/>
        <v>73.431384032719365</v>
      </c>
      <c r="N9" s="8">
        <v>145</v>
      </c>
      <c r="O9" s="8">
        <v>5510</v>
      </c>
      <c r="P9" s="10">
        <v>0</v>
      </c>
      <c r="Q9" s="10">
        <v>0</v>
      </c>
      <c r="R9" s="8">
        <v>228</v>
      </c>
      <c r="S9" s="8">
        <v>8664</v>
      </c>
      <c r="T9" s="8">
        <v>65</v>
      </c>
      <c r="U9" s="8">
        <v>2470</v>
      </c>
      <c r="V9" s="8">
        <v>40</v>
      </c>
      <c r="W9" s="8">
        <v>1520</v>
      </c>
      <c r="X9" s="8">
        <v>45</v>
      </c>
      <c r="Y9" s="8">
        <v>1710</v>
      </c>
      <c r="Z9" s="10">
        <v>0</v>
      </c>
      <c r="AA9" s="10">
        <v>0</v>
      </c>
      <c r="AB9" s="8">
        <v>65</v>
      </c>
      <c r="AC9" s="8">
        <v>2470</v>
      </c>
      <c r="AD9" s="10">
        <v>0</v>
      </c>
      <c r="AE9" s="10">
        <v>0</v>
      </c>
      <c r="AF9" s="10">
        <v>0</v>
      </c>
      <c r="AG9" s="10">
        <v>0</v>
      </c>
      <c r="AH9" s="8">
        <v>400</v>
      </c>
      <c r="AI9" s="8">
        <v>15200</v>
      </c>
      <c r="AJ9" s="8">
        <v>98</v>
      </c>
      <c r="AK9" s="8">
        <v>3724</v>
      </c>
      <c r="AL9" s="10">
        <v>0</v>
      </c>
      <c r="AM9" s="10">
        <v>0</v>
      </c>
      <c r="AN9" s="8">
        <v>46</v>
      </c>
      <c r="AO9" s="8">
        <v>1748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8">
        <v>65</v>
      </c>
      <c r="BA9" s="8">
        <v>2470</v>
      </c>
      <c r="BB9" s="8">
        <v>33</v>
      </c>
      <c r="BC9" s="8">
        <v>1254</v>
      </c>
      <c r="BD9" s="8">
        <v>33</v>
      </c>
      <c r="BE9" s="8">
        <v>1254</v>
      </c>
      <c r="BF9" s="8">
        <v>44</v>
      </c>
      <c r="BG9" s="8">
        <v>1672</v>
      </c>
      <c r="BH9" s="8">
        <v>33</v>
      </c>
      <c r="BI9" s="8">
        <v>1254</v>
      </c>
      <c r="BJ9" s="8">
        <v>65</v>
      </c>
      <c r="BK9" s="8">
        <v>2470</v>
      </c>
      <c r="BL9" s="8">
        <v>55</v>
      </c>
      <c r="BM9" s="8">
        <v>2090</v>
      </c>
      <c r="BN9" s="8">
        <v>80</v>
      </c>
      <c r="BO9" s="8">
        <v>3040</v>
      </c>
      <c r="BP9" s="8">
        <v>100</v>
      </c>
      <c r="BQ9" s="8">
        <v>3800</v>
      </c>
      <c r="BR9" s="8">
        <v>100</v>
      </c>
      <c r="BS9" s="8">
        <v>3800</v>
      </c>
      <c r="BT9" s="8">
        <v>90</v>
      </c>
      <c r="BU9" s="8">
        <v>3420</v>
      </c>
      <c r="BV9" s="10">
        <v>0</v>
      </c>
      <c r="BW9" s="10">
        <v>0</v>
      </c>
      <c r="BX9" s="8">
        <v>44</v>
      </c>
      <c r="BY9" s="8">
        <v>1672</v>
      </c>
      <c r="BZ9" s="8">
        <v>135</v>
      </c>
      <c r="CA9" s="8">
        <v>5130</v>
      </c>
      <c r="CB9" s="10">
        <v>0</v>
      </c>
      <c r="CC9" s="10">
        <v>0</v>
      </c>
      <c r="CD9" s="8">
        <v>175</v>
      </c>
      <c r="CE9" s="8">
        <v>6650</v>
      </c>
      <c r="CF9" s="8">
        <v>34</v>
      </c>
      <c r="CG9" s="8">
        <v>1292</v>
      </c>
      <c r="CH9" s="8">
        <v>150</v>
      </c>
      <c r="CI9" s="8">
        <v>5700</v>
      </c>
      <c r="CJ9" s="8">
        <v>479</v>
      </c>
      <c r="CK9" s="8">
        <v>18202</v>
      </c>
      <c r="CL9" s="8">
        <v>800</v>
      </c>
      <c r="CM9" s="8">
        <v>30400</v>
      </c>
      <c r="CN9" s="8">
        <v>800</v>
      </c>
      <c r="CO9" s="8">
        <v>30400</v>
      </c>
      <c r="CP9" s="10">
        <v>0</v>
      </c>
      <c r="CQ9" s="10">
        <v>0</v>
      </c>
      <c r="CR9" s="8">
        <v>34</v>
      </c>
      <c r="CS9" s="8">
        <v>1292</v>
      </c>
      <c r="CT9" s="8">
        <v>58</v>
      </c>
      <c r="CU9" s="8">
        <v>2204</v>
      </c>
      <c r="CV9" s="8">
        <v>9904.8240000000005</v>
      </c>
      <c r="CW9" s="8">
        <v>376383.3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</row>
    <row r="10" spans="1:111" ht="13.4" customHeight="1" x14ac:dyDescent="0.35">
      <c r="A10" s="6" t="s">
        <v>29</v>
      </c>
      <c r="B10" s="6" t="s">
        <v>30</v>
      </c>
      <c r="C10" s="6" t="s">
        <v>20</v>
      </c>
      <c r="D10" s="6" t="s">
        <v>24</v>
      </c>
      <c r="E10" s="7">
        <v>38</v>
      </c>
      <c r="F10" s="8">
        <v>19669.824000000001</v>
      </c>
      <c r="G10" s="8">
        <v>19003.824000000001</v>
      </c>
      <c r="H10" s="8">
        <f t="shared" si="0"/>
        <v>-666</v>
      </c>
      <c r="I10" s="9">
        <f t="shared" si="1"/>
        <v>96.614102901988346</v>
      </c>
      <c r="J10" s="8">
        <v>747453.31200000003</v>
      </c>
      <c r="K10" s="8">
        <v>722145.31200000003</v>
      </c>
      <c r="L10" s="8">
        <f t="shared" si="2"/>
        <v>-25308</v>
      </c>
      <c r="M10" s="9">
        <f t="shared" si="3"/>
        <v>96.614102901988346</v>
      </c>
      <c r="N10" s="8">
        <v>132</v>
      </c>
      <c r="O10" s="8">
        <v>5016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8">
        <v>90</v>
      </c>
      <c r="AE10" s="8">
        <v>3420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8">
        <v>65</v>
      </c>
      <c r="AS10" s="8">
        <v>2470</v>
      </c>
      <c r="AT10" s="10">
        <v>0</v>
      </c>
      <c r="AU10" s="10">
        <v>0</v>
      </c>
      <c r="AV10" s="10">
        <v>0</v>
      </c>
      <c r="AW10" s="10">
        <v>0</v>
      </c>
      <c r="AX10" s="8">
        <v>45</v>
      </c>
      <c r="AY10" s="8">
        <v>1710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8">
        <v>200</v>
      </c>
      <c r="CC10" s="8">
        <v>7600</v>
      </c>
      <c r="CD10" s="8">
        <v>143</v>
      </c>
      <c r="CE10" s="8">
        <v>5434</v>
      </c>
      <c r="CF10" s="8">
        <v>409</v>
      </c>
      <c r="CG10" s="8">
        <v>15542</v>
      </c>
      <c r="CH10" s="8">
        <v>200</v>
      </c>
      <c r="CI10" s="8">
        <v>7600</v>
      </c>
      <c r="CJ10" s="8">
        <v>389</v>
      </c>
      <c r="CK10" s="8">
        <v>14782</v>
      </c>
      <c r="CL10" s="8">
        <v>100</v>
      </c>
      <c r="CM10" s="8">
        <v>3800</v>
      </c>
      <c r="CN10" s="8">
        <v>100</v>
      </c>
      <c r="CO10" s="8">
        <v>3800</v>
      </c>
      <c r="CP10" s="10">
        <v>0</v>
      </c>
      <c r="CQ10" s="10">
        <v>0</v>
      </c>
      <c r="CR10" s="8">
        <v>355</v>
      </c>
      <c r="CS10" s="8">
        <v>13490</v>
      </c>
      <c r="CT10" s="8">
        <v>110</v>
      </c>
      <c r="CU10" s="8">
        <v>4180</v>
      </c>
      <c r="CV10" s="8">
        <v>16545.824000000001</v>
      </c>
      <c r="CW10" s="8">
        <v>628741.30000000005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8">
        <v>120</v>
      </c>
      <c r="DE10" s="8">
        <v>4560</v>
      </c>
      <c r="DF10" s="10">
        <v>0</v>
      </c>
      <c r="DG10" s="10">
        <v>0</v>
      </c>
    </row>
    <row r="11" spans="1:111" ht="13.4" customHeight="1" x14ac:dyDescent="0.35">
      <c r="A11" s="6" t="s">
        <v>31</v>
      </c>
      <c r="B11" s="6" t="s">
        <v>32</v>
      </c>
      <c r="C11" s="6" t="s">
        <v>20</v>
      </c>
      <c r="D11" s="6" t="s">
        <v>21</v>
      </c>
      <c r="E11" s="7">
        <v>455</v>
      </c>
      <c r="F11" s="8">
        <v>1825</v>
      </c>
      <c r="G11" s="8">
        <v>795</v>
      </c>
      <c r="H11" s="8">
        <f t="shared" si="0"/>
        <v>-1030</v>
      </c>
      <c r="I11" s="9">
        <f t="shared" si="1"/>
        <v>43.561643835616437</v>
      </c>
      <c r="J11" s="8">
        <v>830375</v>
      </c>
      <c r="K11" s="8">
        <v>361725</v>
      </c>
      <c r="L11" s="8">
        <f t="shared" si="2"/>
        <v>-468650</v>
      </c>
      <c r="M11" s="9">
        <f t="shared" si="3"/>
        <v>43.561643835616437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8">
        <v>90</v>
      </c>
      <c r="BC11" s="8">
        <v>40950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8">
        <v>455</v>
      </c>
      <c r="CG11" s="8">
        <v>207025</v>
      </c>
      <c r="CH11" s="8">
        <v>20</v>
      </c>
      <c r="CI11" s="8">
        <v>9100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8">
        <v>83</v>
      </c>
      <c r="CU11" s="8">
        <v>37765</v>
      </c>
      <c r="CV11" s="8">
        <v>89</v>
      </c>
      <c r="CW11" s="8">
        <v>40495</v>
      </c>
      <c r="CX11" s="8">
        <v>12</v>
      </c>
      <c r="CY11" s="8">
        <v>5460</v>
      </c>
      <c r="CZ11" s="10">
        <v>0</v>
      </c>
      <c r="DA11" s="10">
        <v>0</v>
      </c>
      <c r="DB11" s="10">
        <v>0</v>
      </c>
      <c r="DC11" s="10">
        <v>0</v>
      </c>
      <c r="DD11" s="8">
        <v>34</v>
      </c>
      <c r="DE11" s="8">
        <v>15470</v>
      </c>
      <c r="DF11" s="8">
        <v>12</v>
      </c>
      <c r="DG11" s="8">
        <v>5460</v>
      </c>
    </row>
    <row r="12" spans="1:111" ht="13.4" customHeight="1" x14ac:dyDescent="0.35">
      <c r="A12" s="6" t="s">
        <v>33</v>
      </c>
      <c r="B12" s="6" t="s">
        <v>34</v>
      </c>
      <c r="C12" s="6" t="s">
        <v>20</v>
      </c>
      <c r="D12" s="6" t="s">
        <v>21</v>
      </c>
      <c r="E12" s="7">
        <v>1876</v>
      </c>
      <c r="F12" s="8">
        <v>14</v>
      </c>
      <c r="G12" s="8">
        <v>21</v>
      </c>
      <c r="H12" s="8">
        <f t="shared" si="0"/>
        <v>7</v>
      </c>
      <c r="I12" s="11">
        <f t="shared" si="1"/>
        <v>150</v>
      </c>
      <c r="J12" s="8">
        <v>26264</v>
      </c>
      <c r="K12" s="8">
        <v>39396</v>
      </c>
      <c r="L12" s="8">
        <f t="shared" si="2"/>
        <v>13132</v>
      </c>
      <c r="M12" s="11">
        <f t="shared" si="3"/>
        <v>150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8">
        <v>10</v>
      </c>
      <c r="BC12" s="8">
        <v>18760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8">
        <v>4</v>
      </c>
      <c r="BY12" s="8">
        <v>7504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8">
        <v>4</v>
      </c>
      <c r="CM12" s="8">
        <v>7504</v>
      </c>
      <c r="CN12" s="8">
        <v>3</v>
      </c>
      <c r="CO12" s="8">
        <v>5628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</row>
    <row r="13" spans="1:111" ht="13.4" customHeight="1" x14ac:dyDescent="0.35">
      <c r="A13" s="6" t="s">
        <v>35</v>
      </c>
      <c r="B13" s="6" t="s">
        <v>36</v>
      </c>
      <c r="C13" s="6" t="s">
        <v>20</v>
      </c>
      <c r="D13" s="6" t="s">
        <v>24</v>
      </c>
      <c r="E13" s="7">
        <v>44</v>
      </c>
      <c r="F13" s="8">
        <v>4884</v>
      </c>
      <c r="G13" s="8">
        <v>163</v>
      </c>
      <c r="H13" s="8">
        <f t="shared" si="0"/>
        <v>-4721</v>
      </c>
      <c r="I13" s="9">
        <f t="shared" si="1"/>
        <v>3.3374283374283373</v>
      </c>
      <c r="J13" s="8">
        <v>214896</v>
      </c>
      <c r="K13" s="8">
        <v>7172</v>
      </c>
      <c r="L13" s="8">
        <f t="shared" si="2"/>
        <v>-207724</v>
      </c>
      <c r="M13" s="9">
        <f t="shared" si="3"/>
        <v>3.3374283374283373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8">
        <v>125</v>
      </c>
      <c r="CC13" s="8">
        <v>5500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8">
        <v>14</v>
      </c>
      <c r="CU13" s="8">
        <v>616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8">
        <v>24</v>
      </c>
      <c r="DE13" s="8">
        <v>1056</v>
      </c>
      <c r="DF13" s="10">
        <v>0</v>
      </c>
      <c r="DG13" s="10">
        <v>0</v>
      </c>
    </row>
    <row r="14" spans="1:111" x14ac:dyDescent="0.35">
      <c r="A14" s="12" t="s">
        <v>37</v>
      </c>
      <c r="B14" s="12" t="s">
        <v>17</v>
      </c>
      <c r="C14" s="12" t="s">
        <v>17</v>
      </c>
      <c r="D14" s="12" t="s">
        <v>17</v>
      </c>
      <c r="E14" s="12" t="s">
        <v>17</v>
      </c>
      <c r="F14" s="12" t="s">
        <v>17</v>
      </c>
      <c r="G14" s="12" t="s">
        <v>17</v>
      </c>
      <c r="H14" s="12" t="s">
        <v>17</v>
      </c>
      <c r="I14" s="12" t="s">
        <v>17</v>
      </c>
      <c r="J14" s="13">
        <v>2679001.6239999998</v>
      </c>
      <c r="K14" s="13">
        <v>1827663.6240000001</v>
      </c>
      <c r="L14" s="13">
        <v>-851337.99999999977</v>
      </c>
      <c r="M14" s="14">
        <v>68.221818442615472</v>
      </c>
      <c r="N14" s="12" t="s">
        <v>17</v>
      </c>
      <c r="O14" s="13">
        <v>21561</v>
      </c>
      <c r="P14" s="12" t="s">
        <v>17</v>
      </c>
      <c r="Q14" s="13">
        <v>660</v>
      </c>
      <c r="R14" s="12" t="s">
        <v>17</v>
      </c>
      <c r="S14" s="13">
        <v>8664</v>
      </c>
      <c r="T14" s="12" t="s">
        <v>17</v>
      </c>
      <c r="U14" s="13">
        <v>2470</v>
      </c>
      <c r="V14" s="12" t="s">
        <v>17</v>
      </c>
      <c r="W14" s="13">
        <v>1520</v>
      </c>
      <c r="X14" s="12" t="s">
        <v>17</v>
      </c>
      <c r="Y14" s="13">
        <v>1710</v>
      </c>
      <c r="Z14" s="12" t="s">
        <v>17</v>
      </c>
      <c r="AA14" s="15">
        <v>0</v>
      </c>
      <c r="AB14" s="12" t="s">
        <v>17</v>
      </c>
      <c r="AC14" s="13">
        <v>2470</v>
      </c>
      <c r="AD14" s="12" t="s">
        <v>17</v>
      </c>
      <c r="AE14" s="13">
        <v>3420</v>
      </c>
      <c r="AF14" s="12" t="s">
        <v>17</v>
      </c>
      <c r="AG14" s="13">
        <v>11000</v>
      </c>
      <c r="AH14" s="12" t="s">
        <v>17</v>
      </c>
      <c r="AI14" s="13">
        <v>15200</v>
      </c>
      <c r="AJ14" s="12" t="s">
        <v>17</v>
      </c>
      <c r="AK14" s="13">
        <v>27649</v>
      </c>
      <c r="AL14" s="12" t="s">
        <v>17</v>
      </c>
      <c r="AM14" s="13">
        <v>1430</v>
      </c>
      <c r="AN14" s="12" t="s">
        <v>17</v>
      </c>
      <c r="AO14" s="13">
        <v>5948</v>
      </c>
      <c r="AP14" s="12" t="s">
        <v>17</v>
      </c>
      <c r="AQ14" s="13">
        <v>8745</v>
      </c>
      <c r="AR14" s="12" t="s">
        <v>17</v>
      </c>
      <c r="AS14" s="13">
        <v>17705</v>
      </c>
      <c r="AT14" s="12" t="s">
        <v>17</v>
      </c>
      <c r="AU14" s="13">
        <v>660</v>
      </c>
      <c r="AV14" s="12" t="s">
        <v>17</v>
      </c>
      <c r="AW14" s="13">
        <v>1200</v>
      </c>
      <c r="AX14" s="12" t="s">
        <v>17</v>
      </c>
      <c r="AY14" s="13">
        <v>2700</v>
      </c>
      <c r="AZ14" s="12" t="s">
        <v>17</v>
      </c>
      <c r="BA14" s="13">
        <v>6130</v>
      </c>
      <c r="BB14" s="12" t="s">
        <v>17</v>
      </c>
      <c r="BC14" s="13">
        <v>60964</v>
      </c>
      <c r="BD14" s="12" t="s">
        <v>17</v>
      </c>
      <c r="BE14" s="13">
        <v>1584</v>
      </c>
      <c r="BF14" s="12" t="s">
        <v>17</v>
      </c>
      <c r="BG14" s="13">
        <v>2717</v>
      </c>
      <c r="BH14" s="12" t="s">
        <v>17</v>
      </c>
      <c r="BI14" s="13">
        <v>5104</v>
      </c>
      <c r="BJ14" s="12" t="s">
        <v>17</v>
      </c>
      <c r="BK14" s="13">
        <v>2470</v>
      </c>
      <c r="BL14" s="12" t="s">
        <v>17</v>
      </c>
      <c r="BM14" s="13">
        <v>2090</v>
      </c>
      <c r="BN14" s="12" t="s">
        <v>17</v>
      </c>
      <c r="BO14" s="13">
        <v>4690</v>
      </c>
      <c r="BP14" s="12" t="s">
        <v>17</v>
      </c>
      <c r="BQ14" s="13">
        <v>4460</v>
      </c>
      <c r="BR14" s="12" t="s">
        <v>17</v>
      </c>
      <c r="BS14" s="13">
        <v>6260</v>
      </c>
      <c r="BT14" s="12" t="s">
        <v>17</v>
      </c>
      <c r="BU14" s="13">
        <v>3420</v>
      </c>
      <c r="BV14" s="12" t="s">
        <v>17</v>
      </c>
      <c r="BW14" s="13">
        <v>825</v>
      </c>
      <c r="BX14" s="12" t="s">
        <v>17</v>
      </c>
      <c r="BY14" s="13">
        <v>24161</v>
      </c>
      <c r="BZ14" s="12" t="s">
        <v>17</v>
      </c>
      <c r="CA14" s="13">
        <v>5130</v>
      </c>
      <c r="CB14" s="12" t="s">
        <v>17</v>
      </c>
      <c r="CC14" s="13">
        <v>13100</v>
      </c>
      <c r="CD14" s="12" t="s">
        <v>17</v>
      </c>
      <c r="CE14" s="13">
        <v>36559</v>
      </c>
      <c r="CF14" s="12" t="s">
        <v>17</v>
      </c>
      <c r="CG14" s="13">
        <v>223859</v>
      </c>
      <c r="CH14" s="12" t="s">
        <v>17</v>
      </c>
      <c r="CI14" s="13">
        <v>22400</v>
      </c>
      <c r="CJ14" s="12" t="s">
        <v>17</v>
      </c>
      <c r="CK14" s="13">
        <v>32984</v>
      </c>
      <c r="CL14" s="12" t="s">
        <v>17</v>
      </c>
      <c r="CM14" s="13">
        <v>41704</v>
      </c>
      <c r="CN14" s="12" t="s">
        <v>17</v>
      </c>
      <c r="CO14" s="13">
        <v>40428</v>
      </c>
      <c r="CP14" s="12" t="s">
        <v>17</v>
      </c>
      <c r="CQ14" s="13">
        <v>3685</v>
      </c>
      <c r="CR14" s="12" t="s">
        <v>17</v>
      </c>
      <c r="CS14" s="13">
        <v>14782</v>
      </c>
      <c r="CT14" s="12" t="s">
        <v>17</v>
      </c>
      <c r="CU14" s="13">
        <v>44765</v>
      </c>
      <c r="CV14" s="12" t="s">
        <v>17</v>
      </c>
      <c r="CW14" s="13">
        <v>1045619.6000000001</v>
      </c>
      <c r="CX14" s="12" t="s">
        <v>17</v>
      </c>
      <c r="CY14" s="13">
        <v>5460</v>
      </c>
      <c r="CZ14" s="12" t="s">
        <v>17</v>
      </c>
      <c r="DA14" s="13">
        <v>7425</v>
      </c>
      <c r="DB14" s="12" t="s">
        <v>17</v>
      </c>
      <c r="DC14" s="13">
        <v>3630</v>
      </c>
      <c r="DD14" s="12" t="s">
        <v>17</v>
      </c>
      <c r="DE14" s="13">
        <v>21086</v>
      </c>
      <c r="DF14" s="12" t="s">
        <v>17</v>
      </c>
      <c r="DG14" s="13">
        <v>5460</v>
      </c>
    </row>
  </sheetData>
  <mergeCells count="58">
    <mergeCell ref="DB3:DC3"/>
    <mergeCell ref="DD3:DE3"/>
    <mergeCell ref="DF3:DG3"/>
    <mergeCell ref="A3:A4"/>
    <mergeCell ref="B3:B4"/>
    <mergeCell ref="C3:C4"/>
    <mergeCell ref="D3:D4"/>
    <mergeCell ref="E3:E4"/>
    <mergeCell ref="CR3:CS3"/>
    <mergeCell ref="CT3:CU3"/>
    <mergeCell ref="CV3:CW3"/>
    <mergeCell ref="CX3:CY3"/>
    <mergeCell ref="CZ3:DA3"/>
    <mergeCell ref="CH3:CI3"/>
    <mergeCell ref="CJ3:CK3"/>
    <mergeCell ref="CL3:CM3"/>
    <mergeCell ref="CN3:CO3"/>
    <mergeCell ref="CP3:CQ3"/>
    <mergeCell ref="BX3:BY3"/>
    <mergeCell ref="BZ3:CA3"/>
    <mergeCell ref="CB3:CC3"/>
    <mergeCell ref="CD3:CE3"/>
    <mergeCell ref="CF3:CG3"/>
    <mergeCell ref="BN3:BO3"/>
    <mergeCell ref="BP3:BQ3"/>
    <mergeCell ref="BR3:BS3"/>
    <mergeCell ref="BT3:BU3"/>
    <mergeCell ref="BV3:BW3"/>
    <mergeCell ref="BD3:BE3"/>
    <mergeCell ref="BF3:BG3"/>
    <mergeCell ref="BH3:BI3"/>
    <mergeCell ref="BJ3:BK3"/>
    <mergeCell ref="BL3:BM3"/>
    <mergeCell ref="AT3:AU3"/>
    <mergeCell ref="AV3:AW3"/>
    <mergeCell ref="AX3:AY3"/>
    <mergeCell ref="AZ3:BA3"/>
    <mergeCell ref="BB3:BC3"/>
    <mergeCell ref="AJ3:AK3"/>
    <mergeCell ref="AL3:AM3"/>
    <mergeCell ref="AN3:AO3"/>
    <mergeCell ref="AP3:AQ3"/>
    <mergeCell ref="AR3:AS3"/>
    <mergeCell ref="Z3:AA3"/>
    <mergeCell ref="AB3:AC3"/>
    <mergeCell ref="AD3:AE3"/>
    <mergeCell ref="AF3:AG3"/>
    <mergeCell ref="AH3:AI3"/>
    <mergeCell ref="P3:Q3"/>
    <mergeCell ref="R3:S3"/>
    <mergeCell ref="T3:U3"/>
    <mergeCell ref="V3:W3"/>
    <mergeCell ref="X3:Y3"/>
    <mergeCell ref="A1:D1"/>
    <mergeCell ref="A2:D2"/>
    <mergeCell ref="F3:I3"/>
    <mergeCell ref="J3:M3"/>
    <mergeCell ref="N3:O3"/>
  </mergeCells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23"/>
  <sheetViews>
    <sheetView workbookViewId="0"/>
  </sheetViews>
  <sheetFormatPr defaultRowHeight="14.5" x14ac:dyDescent="0.35"/>
  <cols>
    <col min="1" max="35" width="20" customWidth="1"/>
  </cols>
  <sheetData>
    <row r="1" spans="1:35" ht="23.5" x14ac:dyDescent="0.55000000000000004">
      <c r="B1" s="16" t="s">
        <v>38</v>
      </c>
      <c r="C1" t="s">
        <v>39</v>
      </c>
      <c r="D1" t="s">
        <v>40</v>
      </c>
    </row>
    <row r="2" spans="1:35" ht="30" x14ac:dyDescent="0.35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4</v>
      </c>
      <c r="L2" s="1" t="s">
        <v>51</v>
      </c>
      <c r="M2" s="1" t="s">
        <v>52</v>
      </c>
      <c r="N2" s="1" t="s">
        <v>53</v>
      </c>
      <c r="O2" s="1" t="s">
        <v>54</v>
      </c>
      <c r="P2" s="1" t="s">
        <v>55</v>
      </c>
      <c r="Q2" s="1" t="s">
        <v>56</v>
      </c>
      <c r="R2" s="1" t="s">
        <v>57</v>
      </c>
      <c r="S2" s="1" t="s">
        <v>58</v>
      </c>
      <c r="T2" s="1" t="s">
        <v>59</v>
      </c>
      <c r="U2" s="1" t="s">
        <v>60</v>
      </c>
      <c r="V2" s="1" t="s">
        <v>61</v>
      </c>
      <c r="W2" s="1" t="s">
        <v>62</v>
      </c>
      <c r="X2" s="1" t="s">
        <v>63</v>
      </c>
      <c r="Y2" s="1" t="s">
        <v>64</v>
      </c>
      <c r="Z2" s="1" t="s">
        <v>9</v>
      </c>
      <c r="AA2" s="1" t="s">
        <v>65</v>
      </c>
      <c r="AB2" s="1" t="s">
        <v>66</v>
      </c>
      <c r="AC2" s="1" t="s">
        <v>67</v>
      </c>
      <c r="AD2" s="1" t="s">
        <v>68</v>
      </c>
      <c r="AE2" s="1" t="s">
        <v>69</v>
      </c>
      <c r="AF2" s="1" t="s">
        <v>70</v>
      </c>
      <c r="AG2" s="1" t="s">
        <v>71</v>
      </c>
      <c r="AH2" s="1" t="s">
        <v>72</v>
      </c>
      <c r="AI2" s="1" t="s">
        <v>73</v>
      </c>
    </row>
    <row r="3" spans="1:35" x14ac:dyDescent="0.35">
      <c r="A3">
        <v>1</v>
      </c>
      <c r="B3" s="17">
        <v>45203</v>
      </c>
      <c r="C3" t="s">
        <v>74</v>
      </c>
      <c r="D3" t="s">
        <v>75</v>
      </c>
      <c r="E3" t="s">
        <v>20</v>
      </c>
      <c r="F3" t="s">
        <v>16</v>
      </c>
      <c r="G3" t="s">
        <v>75</v>
      </c>
      <c r="H3" t="s">
        <v>76</v>
      </c>
      <c r="I3">
        <v>0</v>
      </c>
      <c r="J3">
        <v>0</v>
      </c>
      <c r="K3" t="s">
        <v>20</v>
      </c>
      <c r="L3" t="s">
        <v>76</v>
      </c>
      <c r="M3" t="s">
        <v>21</v>
      </c>
      <c r="N3">
        <v>4</v>
      </c>
      <c r="O3" s="18">
        <v>192</v>
      </c>
      <c r="P3" s="18">
        <v>660</v>
      </c>
      <c r="Q3" s="18">
        <v>165</v>
      </c>
      <c r="R3">
        <v>31680</v>
      </c>
      <c r="S3">
        <v>1</v>
      </c>
      <c r="T3">
        <v>0</v>
      </c>
      <c r="U3" t="s">
        <v>75</v>
      </c>
      <c r="V3" t="s">
        <v>75</v>
      </c>
      <c r="W3" t="s">
        <v>77</v>
      </c>
      <c r="X3" t="s">
        <v>76</v>
      </c>
      <c r="Y3" t="s">
        <v>21</v>
      </c>
      <c r="Z3" t="s">
        <v>17</v>
      </c>
      <c r="AA3" t="s">
        <v>78</v>
      </c>
      <c r="AB3">
        <v>1</v>
      </c>
      <c r="AC3">
        <v>1.1000000000000001</v>
      </c>
      <c r="AD3">
        <v>0</v>
      </c>
      <c r="AE3">
        <v>0</v>
      </c>
      <c r="AF3" t="s">
        <v>75</v>
      </c>
      <c r="AG3" t="s">
        <v>75</v>
      </c>
      <c r="AH3" t="s">
        <v>75</v>
      </c>
      <c r="AI3" t="s">
        <v>75</v>
      </c>
    </row>
    <row r="4" spans="1:35" x14ac:dyDescent="0.35">
      <c r="A4">
        <v>1</v>
      </c>
      <c r="B4" s="17">
        <v>45203</v>
      </c>
      <c r="C4" t="s">
        <v>74</v>
      </c>
      <c r="D4" t="s">
        <v>75</v>
      </c>
      <c r="E4" t="s">
        <v>20</v>
      </c>
      <c r="F4" t="s">
        <v>16</v>
      </c>
      <c r="G4" t="s">
        <v>75</v>
      </c>
      <c r="H4" t="s">
        <v>79</v>
      </c>
      <c r="I4">
        <v>0</v>
      </c>
      <c r="J4">
        <v>0</v>
      </c>
      <c r="K4" t="s">
        <v>20</v>
      </c>
      <c r="L4" t="s">
        <v>79</v>
      </c>
      <c r="M4" t="s">
        <v>21</v>
      </c>
      <c r="N4">
        <v>8</v>
      </c>
      <c r="O4" s="18">
        <v>54</v>
      </c>
      <c r="P4" s="18">
        <v>2400</v>
      </c>
      <c r="Q4" s="18">
        <v>300</v>
      </c>
      <c r="R4">
        <v>16200</v>
      </c>
      <c r="S4">
        <v>1</v>
      </c>
      <c r="T4">
        <v>0</v>
      </c>
      <c r="U4" t="s">
        <v>75</v>
      </c>
      <c r="V4" t="s">
        <v>75</v>
      </c>
      <c r="W4" t="s">
        <v>77</v>
      </c>
      <c r="X4" t="s">
        <v>79</v>
      </c>
      <c r="Y4" t="s">
        <v>21</v>
      </c>
      <c r="Z4" t="s">
        <v>17</v>
      </c>
      <c r="AA4" t="s">
        <v>78</v>
      </c>
      <c r="AB4">
        <v>1</v>
      </c>
      <c r="AC4">
        <v>3</v>
      </c>
      <c r="AD4">
        <v>0</v>
      </c>
      <c r="AE4">
        <v>0</v>
      </c>
      <c r="AF4" t="s">
        <v>75</v>
      </c>
      <c r="AG4" t="s">
        <v>75</v>
      </c>
      <c r="AH4" t="s">
        <v>75</v>
      </c>
      <c r="AI4" t="s">
        <v>75</v>
      </c>
    </row>
    <row r="5" spans="1:35" x14ac:dyDescent="0.35">
      <c r="A5">
        <v>1</v>
      </c>
      <c r="B5" s="17">
        <v>45203</v>
      </c>
      <c r="C5" t="s">
        <v>74</v>
      </c>
      <c r="D5" t="s">
        <v>75</v>
      </c>
      <c r="E5" t="s">
        <v>20</v>
      </c>
      <c r="F5" t="s">
        <v>16</v>
      </c>
      <c r="G5" t="s">
        <v>75</v>
      </c>
      <c r="H5" t="s">
        <v>80</v>
      </c>
      <c r="I5">
        <v>0.15</v>
      </c>
      <c r="J5">
        <v>19.8</v>
      </c>
      <c r="K5" t="s">
        <v>20</v>
      </c>
      <c r="L5" t="s">
        <v>80</v>
      </c>
      <c r="M5" t="s">
        <v>24</v>
      </c>
      <c r="N5">
        <v>132</v>
      </c>
      <c r="O5" s="18">
        <v>19669.824000000001</v>
      </c>
      <c r="P5" s="18">
        <v>5016</v>
      </c>
      <c r="Q5" s="18">
        <v>38</v>
      </c>
      <c r="R5">
        <v>747453.31200000003</v>
      </c>
      <c r="S5">
        <v>1</v>
      </c>
      <c r="T5">
        <v>0</v>
      </c>
      <c r="U5" t="s">
        <v>75</v>
      </c>
      <c r="V5" t="s">
        <v>75</v>
      </c>
      <c r="W5" t="s">
        <v>77</v>
      </c>
      <c r="X5" t="s">
        <v>80</v>
      </c>
      <c r="Y5" t="s">
        <v>24</v>
      </c>
      <c r="Z5" t="s">
        <v>17</v>
      </c>
      <c r="AA5" t="s">
        <v>81</v>
      </c>
      <c r="AB5">
        <v>2</v>
      </c>
      <c r="AC5">
        <v>20</v>
      </c>
      <c r="AD5">
        <v>0</v>
      </c>
      <c r="AE5">
        <v>0</v>
      </c>
      <c r="AF5" t="s">
        <v>75</v>
      </c>
      <c r="AG5" t="s">
        <v>75</v>
      </c>
      <c r="AH5" t="s">
        <v>75</v>
      </c>
      <c r="AI5" t="s">
        <v>75</v>
      </c>
    </row>
    <row r="6" spans="1:35" x14ac:dyDescent="0.35">
      <c r="A6">
        <v>1</v>
      </c>
      <c r="B6" s="17">
        <v>45203</v>
      </c>
      <c r="C6" t="s">
        <v>74</v>
      </c>
      <c r="D6" t="s">
        <v>75</v>
      </c>
      <c r="E6" t="s">
        <v>20</v>
      </c>
      <c r="F6" t="s">
        <v>16</v>
      </c>
      <c r="G6" t="s">
        <v>75</v>
      </c>
      <c r="H6" t="s">
        <v>82</v>
      </c>
      <c r="I6">
        <v>0</v>
      </c>
      <c r="J6">
        <v>0</v>
      </c>
      <c r="K6" t="s">
        <v>20</v>
      </c>
      <c r="L6" t="s">
        <v>82</v>
      </c>
      <c r="M6" t="s">
        <v>24</v>
      </c>
      <c r="N6">
        <v>145</v>
      </c>
      <c r="O6" s="18">
        <v>19669.824000000001</v>
      </c>
      <c r="P6" s="18">
        <v>5510</v>
      </c>
      <c r="Q6" s="18">
        <v>38</v>
      </c>
      <c r="R6">
        <v>747453.31200000003</v>
      </c>
      <c r="S6">
        <v>1</v>
      </c>
      <c r="T6">
        <v>0</v>
      </c>
      <c r="U6" t="s">
        <v>75</v>
      </c>
      <c r="V6" t="s">
        <v>75</v>
      </c>
      <c r="W6" t="s">
        <v>77</v>
      </c>
      <c r="X6" t="s">
        <v>82</v>
      </c>
      <c r="Y6" t="s">
        <v>24</v>
      </c>
      <c r="Z6" t="s">
        <v>17</v>
      </c>
      <c r="AA6" t="s">
        <v>78</v>
      </c>
      <c r="AB6">
        <v>2</v>
      </c>
      <c r="AC6">
        <v>14</v>
      </c>
      <c r="AD6">
        <v>0</v>
      </c>
      <c r="AE6">
        <v>0</v>
      </c>
      <c r="AF6" t="s">
        <v>75</v>
      </c>
      <c r="AG6" t="s">
        <v>75</v>
      </c>
      <c r="AH6" t="s">
        <v>75</v>
      </c>
      <c r="AI6" t="s">
        <v>75</v>
      </c>
    </row>
    <row r="7" spans="1:35" x14ac:dyDescent="0.35">
      <c r="A7">
        <v>1</v>
      </c>
      <c r="B7" s="17">
        <v>45203</v>
      </c>
      <c r="C7" t="s">
        <v>74</v>
      </c>
      <c r="D7" t="s">
        <v>75</v>
      </c>
      <c r="E7" t="s">
        <v>20</v>
      </c>
      <c r="F7" t="s">
        <v>16</v>
      </c>
      <c r="G7" t="s">
        <v>75</v>
      </c>
      <c r="H7" t="s">
        <v>83</v>
      </c>
      <c r="I7">
        <v>0</v>
      </c>
      <c r="J7">
        <v>0</v>
      </c>
      <c r="K7" t="s">
        <v>20</v>
      </c>
      <c r="L7" t="s">
        <v>83</v>
      </c>
      <c r="M7" t="s">
        <v>24</v>
      </c>
      <c r="N7">
        <v>145</v>
      </c>
      <c r="O7" s="18">
        <v>1176</v>
      </c>
      <c r="P7" s="18">
        <v>7975</v>
      </c>
      <c r="Q7" s="18">
        <v>55</v>
      </c>
      <c r="R7">
        <v>64680</v>
      </c>
      <c r="S7">
        <v>1</v>
      </c>
      <c r="T7">
        <v>0</v>
      </c>
      <c r="U7" t="s">
        <v>75</v>
      </c>
      <c r="V7" t="s">
        <v>75</v>
      </c>
      <c r="W7" t="s">
        <v>77</v>
      </c>
      <c r="X7" t="s">
        <v>83</v>
      </c>
      <c r="Y7" t="s">
        <v>24</v>
      </c>
      <c r="Z7" t="s">
        <v>17</v>
      </c>
      <c r="AA7" t="s">
        <v>78</v>
      </c>
      <c r="AB7">
        <v>2</v>
      </c>
      <c r="AC7">
        <v>14</v>
      </c>
      <c r="AD7">
        <v>0</v>
      </c>
      <c r="AE7">
        <v>0</v>
      </c>
      <c r="AF7" t="s">
        <v>75</v>
      </c>
      <c r="AG7" t="s">
        <v>75</v>
      </c>
      <c r="AH7" t="s">
        <v>75</v>
      </c>
      <c r="AI7" t="s">
        <v>75</v>
      </c>
    </row>
    <row r="8" spans="1:35" x14ac:dyDescent="0.35">
      <c r="A8">
        <v>7</v>
      </c>
      <c r="B8" s="17">
        <v>45214</v>
      </c>
      <c r="C8" t="s">
        <v>74</v>
      </c>
      <c r="D8" t="s">
        <v>75</v>
      </c>
      <c r="E8" t="s">
        <v>20</v>
      </c>
      <c r="F8" t="s">
        <v>16</v>
      </c>
      <c r="G8" t="s">
        <v>75</v>
      </c>
      <c r="H8" t="s">
        <v>76</v>
      </c>
      <c r="I8">
        <v>0</v>
      </c>
      <c r="J8">
        <v>0</v>
      </c>
      <c r="K8" t="s">
        <v>20</v>
      </c>
      <c r="L8" t="s">
        <v>76</v>
      </c>
      <c r="M8" t="s">
        <v>21</v>
      </c>
      <c r="N8">
        <v>4</v>
      </c>
      <c r="O8" s="18">
        <v>192</v>
      </c>
      <c r="P8" s="18">
        <v>660</v>
      </c>
      <c r="Q8" s="18">
        <v>165</v>
      </c>
      <c r="R8">
        <v>31680</v>
      </c>
      <c r="S8">
        <v>1</v>
      </c>
      <c r="T8">
        <v>0</v>
      </c>
      <c r="U8" t="s">
        <v>75</v>
      </c>
      <c r="V8" t="s">
        <v>75</v>
      </c>
      <c r="W8" t="s">
        <v>77</v>
      </c>
      <c r="X8" t="s">
        <v>76</v>
      </c>
      <c r="Y8" t="s">
        <v>21</v>
      </c>
      <c r="Z8" t="s">
        <v>17</v>
      </c>
      <c r="AA8" t="s">
        <v>81</v>
      </c>
      <c r="AB8">
        <v>1</v>
      </c>
      <c r="AC8">
        <v>1.3</v>
      </c>
      <c r="AD8">
        <v>0</v>
      </c>
      <c r="AE8">
        <v>0</v>
      </c>
      <c r="AF8" t="s">
        <v>75</v>
      </c>
      <c r="AG8" t="s">
        <v>75</v>
      </c>
      <c r="AH8" t="s">
        <v>75</v>
      </c>
      <c r="AI8" t="s">
        <v>75</v>
      </c>
    </row>
    <row r="9" spans="1:35" x14ac:dyDescent="0.35">
      <c r="A9">
        <v>9</v>
      </c>
      <c r="B9" s="17">
        <v>45215</v>
      </c>
      <c r="C9" t="s">
        <v>74</v>
      </c>
      <c r="D9" t="s">
        <v>75</v>
      </c>
      <c r="E9" t="s">
        <v>20</v>
      </c>
      <c r="F9" t="s">
        <v>16</v>
      </c>
      <c r="G9" t="s">
        <v>75</v>
      </c>
      <c r="H9" t="s">
        <v>82</v>
      </c>
      <c r="I9">
        <v>0</v>
      </c>
      <c r="J9">
        <v>0</v>
      </c>
      <c r="K9" t="s">
        <v>20</v>
      </c>
      <c r="L9" t="s">
        <v>82</v>
      </c>
      <c r="M9" t="s">
        <v>24</v>
      </c>
      <c r="N9">
        <v>228</v>
      </c>
      <c r="O9" s="18">
        <v>19669.824000000001</v>
      </c>
      <c r="P9" s="18">
        <v>8664</v>
      </c>
      <c r="Q9" s="18">
        <v>38</v>
      </c>
      <c r="R9">
        <v>747453.31200000003</v>
      </c>
      <c r="S9">
        <v>1</v>
      </c>
      <c r="T9">
        <v>0</v>
      </c>
      <c r="U9" t="s">
        <v>75</v>
      </c>
      <c r="V9" t="s">
        <v>75</v>
      </c>
      <c r="W9" t="s">
        <v>77</v>
      </c>
      <c r="X9" t="s">
        <v>82</v>
      </c>
      <c r="Y9" t="s">
        <v>24</v>
      </c>
      <c r="Z9" t="s">
        <v>17</v>
      </c>
      <c r="AA9" t="s">
        <v>78</v>
      </c>
      <c r="AB9">
        <v>3</v>
      </c>
      <c r="AC9">
        <v>15</v>
      </c>
      <c r="AD9">
        <v>0</v>
      </c>
      <c r="AE9">
        <v>0</v>
      </c>
      <c r="AF9" t="s">
        <v>74</v>
      </c>
      <c r="AG9" t="s">
        <v>75</v>
      </c>
      <c r="AH9" t="s">
        <v>75</v>
      </c>
      <c r="AI9" t="s">
        <v>75</v>
      </c>
    </row>
    <row r="10" spans="1:35" x14ac:dyDescent="0.35">
      <c r="A10">
        <v>20</v>
      </c>
      <c r="B10" s="17">
        <v>45223</v>
      </c>
      <c r="C10" t="s">
        <v>74</v>
      </c>
      <c r="D10" t="s">
        <v>75</v>
      </c>
      <c r="E10" t="s">
        <v>84</v>
      </c>
      <c r="F10" t="s">
        <v>16</v>
      </c>
      <c r="G10" t="s">
        <v>75</v>
      </c>
      <c r="H10" t="s">
        <v>82</v>
      </c>
      <c r="I10">
        <v>0</v>
      </c>
      <c r="J10">
        <v>0</v>
      </c>
      <c r="K10" t="s">
        <v>20</v>
      </c>
      <c r="L10" t="s">
        <v>82</v>
      </c>
      <c r="M10" t="s">
        <v>24</v>
      </c>
      <c r="N10">
        <v>65</v>
      </c>
      <c r="O10" s="18">
        <v>19669.824000000001</v>
      </c>
      <c r="P10" s="18">
        <v>2470</v>
      </c>
      <c r="Q10" s="18">
        <v>38</v>
      </c>
      <c r="R10">
        <v>747453.31200000003</v>
      </c>
      <c r="S10">
        <v>1</v>
      </c>
      <c r="T10">
        <v>0</v>
      </c>
      <c r="U10" t="s">
        <v>75</v>
      </c>
      <c r="V10" t="s">
        <v>75</v>
      </c>
      <c r="W10" t="s">
        <v>77</v>
      </c>
      <c r="X10" t="s">
        <v>82</v>
      </c>
      <c r="Y10" t="s">
        <v>24</v>
      </c>
      <c r="Z10" t="s">
        <v>17</v>
      </c>
      <c r="AA10" t="s">
        <v>85</v>
      </c>
      <c r="AB10">
        <v>4</v>
      </c>
      <c r="AC10">
        <v>32</v>
      </c>
      <c r="AD10">
        <v>0</v>
      </c>
      <c r="AE10">
        <v>0</v>
      </c>
      <c r="AF10" t="s">
        <v>74</v>
      </c>
      <c r="AG10" t="s">
        <v>86</v>
      </c>
      <c r="AH10" t="s">
        <v>75</v>
      </c>
      <c r="AI10" t="s">
        <v>75</v>
      </c>
    </row>
    <row r="11" spans="1:35" x14ac:dyDescent="0.35">
      <c r="A11">
        <v>28</v>
      </c>
      <c r="B11" s="17">
        <v>45240</v>
      </c>
      <c r="C11" t="s">
        <v>74</v>
      </c>
      <c r="D11" t="s">
        <v>75</v>
      </c>
      <c r="E11" t="s">
        <v>84</v>
      </c>
      <c r="F11" t="s">
        <v>16</v>
      </c>
      <c r="G11" t="s">
        <v>75</v>
      </c>
      <c r="H11" t="s">
        <v>82</v>
      </c>
      <c r="I11">
        <v>0</v>
      </c>
      <c r="J11">
        <v>0</v>
      </c>
      <c r="K11" t="s">
        <v>20</v>
      </c>
      <c r="L11" t="s">
        <v>82</v>
      </c>
      <c r="M11" t="s">
        <v>24</v>
      </c>
      <c r="N11">
        <v>40</v>
      </c>
      <c r="O11" s="18">
        <v>19669.824000000001</v>
      </c>
      <c r="P11" s="18">
        <v>1520</v>
      </c>
      <c r="Q11" s="18">
        <v>38</v>
      </c>
      <c r="R11">
        <v>747453.31200000003</v>
      </c>
      <c r="S11">
        <v>1</v>
      </c>
      <c r="T11">
        <v>0</v>
      </c>
      <c r="U11" t="s">
        <v>75</v>
      </c>
      <c r="V11" t="s">
        <v>75</v>
      </c>
      <c r="W11" t="s">
        <v>77</v>
      </c>
      <c r="X11" t="s">
        <v>82</v>
      </c>
      <c r="Y11" t="s">
        <v>24</v>
      </c>
      <c r="Z11" t="s">
        <v>17</v>
      </c>
      <c r="AA11" t="s">
        <v>81</v>
      </c>
      <c r="AB11">
        <v>6</v>
      </c>
      <c r="AC11">
        <v>48</v>
      </c>
      <c r="AD11">
        <v>0</v>
      </c>
      <c r="AE11">
        <v>0</v>
      </c>
      <c r="AF11" t="s">
        <v>75</v>
      </c>
      <c r="AG11" t="s">
        <v>75</v>
      </c>
      <c r="AH11" t="s">
        <v>75</v>
      </c>
      <c r="AI11" t="s">
        <v>75</v>
      </c>
    </row>
    <row r="12" spans="1:35" x14ac:dyDescent="0.35">
      <c r="A12">
        <v>30</v>
      </c>
      <c r="B12" s="17">
        <v>45268</v>
      </c>
      <c r="C12" t="s">
        <v>74</v>
      </c>
      <c r="D12" t="s">
        <v>75</v>
      </c>
      <c r="E12" t="s">
        <v>84</v>
      </c>
      <c r="F12" t="s">
        <v>16</v>
      </c>
      <c r="G12" t="s">
        <v>75</v>
      </c>
      <c r="H12" t="s">
        <v>82</v>
      </c>
      <c r="I12">
        <v>0</v>
      </c>
      <c r="J12">
        <v>0</v>
      </c>
      <c r="K12" t="s">
        <v>20</v>
      </c>
      <c r="L12" t="s">
        <v>82</v>
      </c>
      <c r="M12" t="s">
        <v>24</v>
      </c>
      <c r="N12">
        <v>45</v>
      </c>
      <c r="O12" s="18">
        <v>19669.824000000001</v>
      </c>
      <c r="P12" s="18">
        <v>1710</v>
      </c>
      <c r="Q12" s="18">
        <v>38</v>
      </c>
      <c r="R12">
        <v>747453.31200000003</v>
      </c>
      <c r="S12">
        <v>1</v>
      </c>
      <c r="T12">
        <v>0</v>
      </c>
      <c r="U12" t="s">
        <v>75</v>
      </c>
      <c r="V12" t="s">
        <v>75</v>
      </c>
      <c r="W12" t="s">
        <v>77</v>
      </c>
      <c r="X12" t="s">
        <v>82</v>
      </c>
      <c r="Y12" t="s">
        <v>24</v>
      </c>
      <c r="Z12" t="s">
        <v>17</v>
      </c>
      <c r="AA12" t="s">
        <v>81</v>
      </c>
      <c r="AB12">
        <v>3</v>
      </c>
      <c r="AC12">
        <v>24</v>
      </c>
      <c r="AD12">
        <v>0</v>
      </c>
      <c r="AE12">
        <v>0</v>
      </c>
      <c r="AF12" t="s">
        <v>74</v>
      </c>
      <c r="AG12" t="s">
        <v>75</v>
      </c>
      <c r="AH12" t="s">
        <v>75</v>
      </c>
      <c r="AI12" t="s">
        <v>75</v>
      </c>
    </row>
    <row r="13" spans="1:35" x14ac:dyDescent="0.35">
      <c r="A13">
        <v>34</v>
      </c>
      <c r="B13" s="17">
        <v>45309</v>
      </c>
      <c r="C13" t="s">
        <v>87</v>
      </c>
      <c r="D13" t="s">
        <v>75</v>
      </c>
      <c r="E13" t="s">
        <v>20</v>
      </c>
      <c r="F13" t="s">
        <v>16</v>
      </c>
      <c r="G13" t="s">
        <v>75</v>
      </c>
      <c r="H13" t="s">
        <v>88</v>
      </c>
      <c r="I13">
        <v>0</v>
      </c>
      <c r="J13">
        <v>0</v>
      </c>
      <c r="K13" t="s">
        <v>20</v>
      </c>
      <c r="L13" t="s">
        <v>88</v>
      </c>
      <c r="M13" t="s">
        <v>21</v>
      </c>
      <c r="N13">
        <v>0</v>
      </c>
      <c r="O13" s="18">
        <v>14</v>
      </c>
      <c r="P13" s="18">
        <v>0</v>
      </c>
      <c r="Q13" s="18">
        <v>1876</v>
      </c>
      <c r="R13">
        <v>26264</v>
      </c>
      <c r="S13">
        <v>1</v>
      </c>
      <c r="T13">
        <v>0</v>
      </c>
      <c r="U13" t="s">
        <v>75</v>
      </c>
      <c r="V13" t="s">
        <v>75</v>
      </c>
      <c r="W13" t="s">
        <v>77</v>
      </c>
      <c r="X13" t="s">
        <v>88</v>
      </c>
      <c r="Y13" t="s">
        <v>21</v>
      </c>
      <c r="Z13" t="s">
        <v>17</v>
      </c>
      <c r="AA13" t="s">
        <v>78</v>
      </c>
      <c r="AB13">
        <v>2</v>
      </c>
      <c r="AC13">
        <v>16</v>
      </c>
      <c r="AD13">
        <v>0</v>
      </c>
      <c r="AE13">
        <v>0</v>
      </c>
      <c r="AF13" t="s">
        <v>75</v>
      </c>
      <c r="AG13" t="s">
        <v>89</v>
      </c>
      <c r="AH13" t="s">
        <v>75</v>
      </c>
      <c r="AI13" t="s">
        <v>75</v>
      </c>
    </row>
    <row r="14" spans="1:35" x14ac:dyDescent="0.35">
      <c r="A14">
        <v>37</v>
      </c>
      <c r="B14" s="17">
        <v>45342</v>
      </c>
      <c r="C14" t="s">
        <v>74</v>
      </c>
      <c r="D14" t="s">
        <v>75</v>
      </c>
      <c r="E14" t="s">
        <v>84</v>
      </c>
      <c r="F14" t="s">
        <v>16</v>
      </c>
      <c r="G14" t="s">
        <v>75</v>
      </c>
      <c r="H14" t="s">
        <v>82</v>
      </c>
      <c r="I14">
        <v>0</v>
      </c>
      <c r="J14">
        <v>0</v>
      </c>
      <c r="K14" t="s">
        <v>20</v>
      </c>
      <c r="L14" t="s">
        <v>82</v>
      </c>
      <c r="M14" t="s">
        <v>24</v>
      </c>
      <c r="N14">
        <v>65</v>
      </c>
      <c r="O14" s="18">
        <v>19669.824000000001</v>
      </c>
      <c r="P14" s="18">
        <v>2470</v>
      </c>
      <c r="Q14" s="18">
        <v>38</v>
      </c>
      <c r="R14">
        <v>747453.31200000003</v>
      </c>
      <c r="S14">
        <v>1</v>
      </c>
      <c r="T14">
        <v>0</v>
      </c>
      <c r="U14" t="s">
        <v>75</v>
      </c>
      <c r="V14" t="s">
        <v>75</v>
      </c>
      <c r="W14" t="s">
        <v>77</v>
      </c>
      <c r="X14" t="s">
        <v>82</v>
      </c>
      <c r="Y14" t="s">
        <v>24</v>
      </c>
      <c r="Z14" t="s">
        <v>17</v>
      </c>
      <c r="AA14" t="s">
        <v>90</v>
      </c>
      <c r="AB14">
        <v>4</v>
      </c>
      <c r="AC14">
        <v>40</v>
      </c>
      <c r="AD14">
        <v>0</v>
      </c>
      <c r="AE14">
        <v>0</v>
      </c>
      <c r="AF14" t="s">
        <v>75</v>
      </c>
      <c r="AG14" t="s">
        <v>91</v>
      </c>
      <c r="AH14" t="s">
        <v>75</v>
      </c>
      <c r="AI14" t="s">
        <v>75</v>
      </c>
    </row>
    <row r="15" spans="1:35" x14ac:dyDescent="0.35">
      <c r="A15">
        <v>44</v>
      </c>
      <c r="B15" s="17">
        <v>45351</v>
      </c>
      <c r="C15" t="s">
        <v>92</v>
      </c>
      <c r="D15" t="s">
        <v>75</v>
      </c>
      <c r="E15" t="s">
        <v>20</v>
      </c>
      <c r="F15" t="s">
        <v>16</v>
      </c>
      <c r="G15" t="s">
        <v>75</v>
      </c>
      <c r="H15" t="s">
        <v>80</v>
      </c>
      <c r="I15">
        <v>0.15</v>
      </c>
      <c r="J15">
        <v>6.75</v>
      </c>
      <c r="K15" t="s">
        <v>20</v>
      </c>
      <c r="L15" t="s">
        <v>80</v>
      </c>
      <c r="M15" t="s">
        <v>24</v>
      </c>
      <c r="N15">
        <v>45</v>
      </c>
      <c r="O15" s="18">
        <v>19669.824000000001</v>
      </c>
      <c r="P15" s="18">
        <v>1710</v>
      </c>
      <c r="Q15" s="18">
        <v>38</v>
      </c>
      <c r="R15">
        <v>747453.31200000003</v>
      </c>
      <c r="S15">
        <v>1</v>
      </c>
      <c r="T15">
        <v>0</v>
      </c>
      <c r="U15" t="s">
        <v>75</v>
      </c>
      <c r="V15" t="s">
        <v>75</v>
      </c>
      <c r="W15" t="s">
        <v>77</v>
      </c>
      <c r="X15" t="s">
        <v>80</v>
      </c>
      <c r="Y15" t="s">
        <v>24</v>
      </c>
      <c r="Z15" t="s">
        <v>17</v>
      </c>
      <c r="AA15" t="s">
        <v>78</v>
      </c>
      <c r="AB15">
        <v>2</v>
      </c>
      <c r="AC15">
        <v>16</v>
      </c>
      <c r="AD15">
        <v>0</v>
      </c>
      <c r="AE15">
        <v>0</v>
      </c>
      <c r="AF15" t="s">
        <v>87</v>
      </c>
      <c r="AG15" t="s">
        <v>75</v>
      </c>
      <c r="AH15" t="s">
        <v>75</v>
      </c>
      <c r="AI15" t="s">
        <v>75</v>
      </c>
    </row>
    <row r="16" spans="1:35" x14ac:dyDescent="0.35">
      <c r="A16">
        <v>46</v>
      </c>
      <c r="B16" s="17">
        <v>45351</v>
      </c>
      <c r="C16" t="s">
        <v>92</v>
      </c>
      <c r="D16" t="s">
        <v>75</v>
      </c>
      <c r="E16" t="s">
        <v>20</v>
      </c>
      <c r="F16" t="s">
        <v>16</v>
      </c>
      <c r="G16" t="s">
        <v>75</v>
      </c>
      <c r="H16" t="s">
        <v>80</v>
      </c>
      <c r="I16">
        <v>0.15</v>
      </c>
      <c r="J16">
        <v>6.75</v>
      </c>
      <c r="K16" t="s">
        <v>20</v>
      </c>
      <c r="L16" t="s">
        <v>80</v>
      </c>
      <c r="M16" t="s">
        <v>24</v>
      </c>
      <c r="N16">
        <v>45</v>
      </c>
      <c r="O16" s="18">
        <v>19669.824000000001</v>
      </c>
      <c r="P16" s="18">
        <v>1710</v>
      </c>
      <c r="Q16" s="18">
        <v>38</v>
      </c>
      <c r="R16">
        <v>747453.31200000003</v>
      </c>
      <c r="S16">
        <v>1</v>
      </c>
      <c r="T16">
        <v>0</v>
      </c>
      <c r="U16" t="s">
        <v>75</v>
      </c>
      <c r="V16" t="s">
        <v>75</v>
      </c>
      <c r="W16" t="s">
        <v>77</v>
      </c>
      <c r="X16" t="s">
        <v>80</v>
      </c>
      <c r="Y16" t="s">
        <v>24</v>
      </c>
      <c r="Z16" t="s">
        <v>17</v>
      </c>
      <c r="AA16" t="s">
        <v>78</v>
      </c>
      <c r="AB16">
        <v>2</v>
      </c>
      <c r="AC16">
        <v>16</v>
      </c>
      <c r="AD16">
        <v>0</v>
      </c>
      <c r="AE16">
        <v>0</v>
      </c>
      <c r="AF16" t="s">
        <v>75</v>
      </c>
      <c r="AG16" t="s">
        <v>93</v>
      </c>
      <c r="AH16" t="s">
        <v>75</v>
      </c>
      <c r="AI16" t="s">
        <v>75</v>
      </c>
    </row>
    <row r="17" spans="1:35" x14ac:dyDescent="0.35">
      <c r="A17">
        <v>57</v>
      </c>
      <c r="B17" s="17">
        <v>45384</v>
      </c>
      <c r="C17" t="s">
        <v>74</v>
      </c>
      <c r="D17" t="s">
        <v>75</v>
      </c>
      <c r="E17" t="s">
        <v>84</v>
      </c>
      <c r="F17" t="s">
        <v>16</v>
      </c>
      <c r="G17" t="s">
        <v>75</v>
      </c>
      <c r="H17" t="s">
        <v>83</v>
      </c>
      <c r="I17">
        <v>0</v>
      </c>
      <c r="J17">
        <v>0</v>
      </c>
      <c r="K17" t="s">
        <v>20</v>
      </c>
      <c r="L17" t="s">
        <v>83</v>
      </c>
      <c r="M17" t="s">
        <v>24</v>
      </c>
      <c r="N17">
        <v>200</v>
      </c>
      <c r="O17" s="18">
        <v>1176</v>
      </c>
      <c r="P17" s="18">
        <v>11000</v>
      </c>
      <c r="Q17" s="18">
        <v>55</v>
      </c>
      <c r="R17">
        <v>64680</v>
      </c>
      <c r="S17">
        <v>1</v>
      </c>
      <c r="T17">
        <v>0</v>
      </c>
      <c r="U17" t="s">
        <v>75</v>
      </c>
      <c r="V17" t="s">
        <v>75</v>
      </c>
      <c r="W17" t="s">
        <v>77</v>
      </c>
      <c r="X17" t="s">
        <v>83</v>
      </c>
      <c r="Y17" t="s">
        <v>24</v>
      </c>
      <c r="Z17" t="s">
        <v>17</v>
      </c>
      <c r="AA17" t="s">
        <v>94</v>
      </c>
      <c r="AB17">
        <v>6</v>
      </c>
      <c r="AC17">
        <v>60</v>
      </c>
      <c r="AD17">
        <v>0</v>
      </c>
      <c r="AE17">
        <v>0</v>
      </c>
      <c r="AF17" t="s">
        <v>75</v>
      </c>
      <c r="AG17" t="s">
        <v>75</v>
      </c>
      <c r="AH17" t="s">
        <v>75</v>
      </c>
      <c r="AI17" t="s">
        <v>75</v>
      </c>
    </row>
    <row r="18" spans="1:35" x14ac:dyDescent="0.35">
      <c r="A18">
        <v>67</v>
      </c>
      <c r="B18" s="17">
        <v>45394</v>
      </c>
      <c r="C18" t="s">
        <v>74</v>
      </c>
      <c r="D18" t="s">
        <v>75</v>
      </c>
      <c r="E18" t="s">
        <v>84</v>
      </c>
      <c r="F18" t="s">
        <v>16</v>
      </c>
      <c r="G18" t="s">
        <v>75</v>
      </c>
      <c r="H18" t="s">
        <v>82</v>
      </c>
      <c r="I18">
        <v>0</v>
      </c>
      <c r="J18">
        <v>0</v>
      </c>
      <c r="K18" t="s">
        <v>20</v>
      </c>
      <c r="L18" t="s">
        <v>82</v>
      </c>
      <c r="M18" t="s">
        <v>24</v>
      </c>
      <c r="N18">
        <v>400</v>
      </c>
      <c r="O18" s="18">
        <v>19669.824000000001</v>
      </c>
      <c r="P18" s="18">
        <v>15200</v>
      </c>
      <c r="Q18" s="18">
        <v>38</v>
      </c>
      <c r="R18">
        <v>747453.31200000003</v>
      </c>
      <c r="S18">
        <v>1</v>
      </c>
      <c r="T18">
        <v>0</v>
      </c>
      <c r="U18" t="s">
        <v>75</v>
      </c>
      <c r="V18" t="s">
        <v>75</v>
      </c>
      <c r="W18" t="s">
        <v>77</v>
      </c>
      <c r="X18" t="s">
        <v>95</v>
      </c>
      <c r="Y18" t="s">
        <v>24</v>
      </c>
      <c r="Z18" t="s">
        <v>17</v>
      </c>
      <c r="AA18" t="s">
        <v>17</v>
      </c>
      <c r="AB18">
        <v>0</v>
      </c>
      <c r="AC18">
        <v>0</v>
      </c>
      <c r="AD18">
        <v>0</v>
      </c>
      <c r="AE18">
        <v>0</v>
      </c>
      <c r="AF18" t="s">
        <v>75</v>
      </c>
      <c r="AG18" t="s">
        <v>75</v>
      </c>
      <c r="AH18" t="s">
        <v>75</v>
      </c>
      <c r="AI18" t="s">
        <v>75</v>
      </c>
    </row>
    <row r="19" spans="1:35" x14ac:dyDescent="0.35">
      <c r="A19">
        <v>68</v>
      </c>
      <c r="B19" s="17">
        <v>45415</v>
      </c>
      <c r="C19" t="s">
        <v>74</v>
      </c>
      <c r="D19" t="s">
        <v>75</v>
      </c>
      <c r="E19" t="s">
        <v>84</v>
      </c>
      <c r="F19" t="s">
        <v>16</v>
      </c>
      <c r="G19" t="s">
        <v>75</v>
      </c>
      <c r="H19" t="s">
        <v>82</v>
      </c>
      <c r="I19">
        <v>0</v>
      </c>
      <c r="J19">
        <v>0</v>
      </c>
      <c r="K19" t="s">
        <v>20</v>
      </c>
      <c r="L19" t="s">
        <v>82</v>
      </c>
      <c r="M19" t="s">
        <v>24</v>
      </c>
      <c r="N19">
        <v>98</v>
      </c>
      <c r="O19" s="18">
        <v>19669.824000000001</v>
      </c>
      <c r="P19" s="18">
        <v>3724</v>
      </c>
      <c r="Q19" s="18">
        <v>38</v>
      </c>
      <c r="R19">
        <v>747453.31200000003</v>
      </c>
      <c r="S19">
        <v>1</v>
      </c>
      <c r="T19">
        <v>0</v>
      </c>
      <c r="U19" t="s">
        <v>75</v>
      </c>
      <c r="V19" t="s">
        <v>75</v>
      </c>
      <c r="W19" t="s">
        <v>77</v>
      </c>
      <c r="X19" t="s">
        <v>95</v>
      </c>
      <c r="Y19" t="s">
        <v>24</v>
      </c>
      <c r="Z19" t="s">
        <v>17</v>
      </c>
      <c r="AA19" t="s">
        <v>81</v>
      </c>
      <c r="AB19">
        <v>3</v>
      </c>
      <c r="AC19">
        <v>30</v>
      </c>
      <c r="AD19">
        <v>0</v>
      </c>
      <c r="AE19">
        <v>0</v>
      </c>
      <c r="AF19" t="s">
        <v>74</v>
      </c>
      <c r="AG19" t="s">
        <v>96</v>
      </c>
      <c r="AH19" t="s">
        <v>75</v>
      </c>
      <c r="AI19" t="s">
        <v>75</v>
      </c>
    </row>
    <row r="20" spans="1:35" x14ac:dyDescent="0.35">
      <c r="A20">
        <v>68</v>
      </c>
      <c r="B20" s="17">
        <v>45415</v>
      </c>
      <c r="C20" t="s">
        <v>74</v>
      </c>
      <c r="D20" t="s">
        <v>75</v>
      </c>
      <c r="E20" t="s">
        <v>84</v>
      </c>
      <c r="F20" t="s">
        <v>16</v>
      </c>
      <c r="G20" t="s">
        <v>75</v>
      </c>
      <c r="H20" t="s">
        <v>83</v>
      </c>
      <c r="I20">
        <v>0</v>
      </c>
      <c r="J20">
        <v>0</v>
      </c>
      <c r="K20" t="s">
        <v>20</v>
      </c>
      <c r="L20" t="s">
        <v>83</v>
      </c>
      <c r="M20" t="s">
        <v>24</v>
      </c>
      <c r="N20">
        <v>20</v>
      </c>
      <c r="O20" s="18">
        <v>1176</v>
      </c>
      <c r="P20" s="18">
        <v>1100</v>
      </c>
      <c r="Q20" s="18">
        <v>55</v>
      </c>
      <c r="R20">
        <v>64680</v>
      </c>
      <c r="S20">
        <v>1</v>
      </c>
      <c r="T20">
        <v>0</v>
      </c>
      <c r="U20" t="s">
        <v>75</v>
      </c>
      <c r="V20" t="s">
        <v>75</v>
      </c>
      <c r="W20" t="s">
        <v>77</v>
      </c>
      <c r="X20" t="s">
        <v>83</v>
      </c>
      <c r="Y20" t="s">
        <v>24</v>
      </c>
      <c r="Z20" t="s">
        <v>17</v>
      </c>
      <c r="AA20" t="s">
        <v>94</v>
      </c>
      <c r="AB20">
        <v>4</v>
      </c>
      <c r="AC20">
        <v>40</v>
      </c>
      <c r="AD20">
        <v>0</v>
      </c>
      <c r="AE20">
        <v>0</v>
      </c>
      <c r="AF20" t="s">
        <v>74</v>
      </c>
      <c r="AG20" t="s">
        <v>96</v>
      </c>
      <c r="AH20" t="s">
        <v>75</v>
      </c>
      <c r="AI20" t="s">
        <v>75</v>
      </c>
    </row>
    <row r="21" spans="1:35" x14ac:dyDescent="0.35">
      <c r="A21">
        <v>70</v>
      </c>
      <c r="B21" s="17">
        <v>45415</v>
      </c>
      <c r="C21" t="s">
        <v>74</v>
      </c>
      <c r="D21" t="s">
        <v>75</v>
      </c>
      <c r="E21" t="s">
        <v>84</v>
      </c>
      <c r="F21" t="s">
        <v>16</v>
      </c>
      <c r="G21" t="s">
        <v>75</v>
      </c>
      <c r="H21" t="s">
        <v>76</v>
      </c>
      <c r="I21">
        <v>0</v>
      </c>
      <c r="J21">
        <v>0</v>
      </c>
      <c r="K21" t="s">
        <v>20</v>
      </c>
      <c r="L21" t="s">
        <v>76</v>
      </c>
      <c r="M21" t="s">
        <v>21</v>
      </c>
      <c r="N21">
        <v>5</v>
      </c>
      <c r="O21" s="18">
        <v>192</v>
      </c>
      <c r="P21" s="18">
        <v>825</v>
      </c>
      <c r="Q21" s="18">
        <v>165</v>
      </c>
      <c r="R21">
        <v>31680</v>
      </c>
      <c r="S21">
        <v>1</v>
      </c>
      <c r="T21">
        <v>0</v>
      </c>
      <c r="U21" t="s">
        <v>75</v>
      </c>
      <c r="V21" t="s">
        <v>75</v>
      </c>
      <c r="W21" t="s">
        <v>77</v>
      </c>
      <c r="X21" t="s">
        <v>97</v>
      </c>
      <c r="Y21" t="s">
        <v>21</v>
      </c>
      <c r="Z21" t="s">
        <v>17</v>
      </c>
      <c r="AA21" t="s">
        <v>17</v>
      </c>
      <c r="AB21">
        <v>0</v>
      </c>
      <c r="AC21">
        <v>0</v>
      </c>
      <c r="AD21">
        <v>0</v>
      </c>
      <c r="AE21">
        <v>0</v>
      </c>
      <c r="AF21" t="s">
        <v>75</v>
      </c>
      <c r="AG21" t="s">
        <v>75</v>
      </c>
      <c r="AH21" t="s">
        <v>75</v>
      </c>
      <c r="AI21" t="s">
        <v>75</v>
      </c>
    </row>
    <row r="22" spans="1:35" x14ac:dyDescent="0.35">
      <c r="A22">
        <v>71</v>
      </c>
      <c r="B22" s="17">
        <v>45415</v>
      </c>
      <c r="C22" t="s">
        <v>74</v>
      </c>
      <c r="D22" t="s">
        <v>75</v>
      </c>
      <c r="E22" t="s">
        <v>84</v>
      </c>
      <c r="F22" t="s">
        <v>16</v>
      </c>
      <c r="G22" t="s">
        <v>75</v>
      </c>
      <c r="H22" t="s">
        <v>83</v>
      </c>
      <c r="I22">
        <v>0</v>
      </c>
      <c r="J22">
        <v>0</v>
      </c>
      <c r="K22" t="s">
        <v>20</v>
      </c>
      <c r="L22" t="s">
        <v>83</v>
      </c>
      <c r="M22" t="s">
        <v>24</v>
      </c>
      <c r="N22">
        <v>400</v>
      </c>
      <c r="O22" s="18">
        <v>1176</v>
      </c>
      <c r="P22" s="18">
        <v>22000</v>
      </c>
      <c r="Q22" s="18">
        <v>55</v>
      </c>
      <c r="R22">
        <v>64680</v>
      </c>
      <c r="S22">
        <v>1</v>
      </c>
      <c r="T22">
        <v>0</v>
      </c>
      <c r="U22" t="s">
        <v>75</v>
      </c>
      <c r="V22" t="s">
        <v>75</v>
      </c>
      <c r="W22" t="s">
        <v>77</v>
      </c>
      <c r="X22" t="s">
        <v>83</v>
      </c>
      <c r="Y22" t="s">
        <v>24</v>
      </c>
      <c r="Z22" t="s">
        <v>17</v>
      </c>
      <c r="AA22" t="s">
        <v>17</v>
      </c>
      <c r="AB22">
        <v>0</v>
      </c>
      <c r="AC22">
        <v>0</v>
      </c>
      <c r="AD22">
        <v>0</v>
      </c>
      <c r="AE22">
        <v>0</v>
      </c>
      <c r="AF22" t="s">
        <v>75</v>
      </c>
      <c r="AG22" t="s">
        <v>75</v>
      </c>
      <c r="AH22" t="s">
        <v>75</v>
      </c>
      <c r="AI22" t="s">
        <v>75</v>
      </c>
    </row>
    <row r="23" spans="1:35" x14ac:dyDescent="0.35">
      <c r="A23">
        <v>72</v>
      </c>
      <c r="B23" s="17">
        <v>45425</v>
      </c>
      <c r="C23" t="s">
        <v>74</v>
      </c>
      <c r="D23" t="s">
        <v>75</v>
      </c>
      <c r="E23" t="s">
        <v>84</v>
      </c>
      <c r="F23" t="s">
        <v>16</v>
      </c>
      <c r="G23" t="s">
        <v>75</v>
      </c>
      <c r="H23" t="s">
        <v>76</v>
      </c>
      <c r="I23">
        <v>0</v>
      </c>
      <c r="J23">
        <v>0</v>
      </c>
      <c r="K23" t="s">
        <v>20</v>
      </c>
      <c r="L23" t="s">
        <v>76</v>
      </c>
      <c r="M23" t="s">
        <v>21</v>
      </c>
      <c r="N23">
        <v>5</v>
      </c>
      <c r="O23" s="18">
        <v>192</v>
      </c>
      <c r="P23" s="18">
        <v>825</v>
      </c>
      <c r="Q23" s="18">
        <v>165</v>
      </c>
      <c r="R23">
        <v>31680</v>
      </c>
      <c r="S23">
        <v>1</v>
      </c>
      <c r="T23">
        <v>0</v>
      </c>
      <c r="U23" t="s">
        <v>75</v>
      </c>
      <c r="V23" t="s">
        <v>75</v>
      </c>
      <c r="W23" t="s">
        <v>77</v>
      </c>
      <c r="X23" t="s">
        <v>97</v>
      </c>
      <c r="Y23" t="s">
        <v>21</v>
      </c>
      <c r="Z23" t="s">
        <v>17</v>
      </c>
      <c r="AA23" t="s">
        <v>17</v>
      </c>
      <c r="AB23">
        <v>0</v>
      </c>
      <c r="AC23">
        <v>0</v>
      </c>
      <c r="AD23">
        <v>0</v>
      </c>
      <c r="AE23">
        <v>0</v>
      </c>
      <c r="AF23" t="s">
        <v>75</v>
      </c>
      <c r="AG23" t="s">
        <v>75</v>
      </c>
      <c r="AH23" t="s">
        <v>75</v>
      </c>
      <c r="AI23" t="s">
        <v>75</v>
      </c>
    </row>
    <row r="24" spans="1:35" x14ac:dyDescent="0.35">
      <c r="A24">
        <v>73</v>
      </c>
      <c r="B24" s="17">
        <v>45425</v>
      </c>
      <c r="C24" t="s">
        <v>74</v>
      </c>
      <c r="D24" t="s">
        <v>75</v>
      </c>
      <c r="E24" t="s">
        <v>84</v>
      </c>
      <c r="F24" t="s">
        <v>16</v>
      </c>
      <c r="G24" t="s">
        <v>75</v>
      </c>
      <c r="H24" t="s">
        <v>83</v>
      </c>
      <c r="I24">
        <v>0</v>
      </c>
      <c r="J24">
        <v>0</v>
      </c>
      <c r="K24" t="s">
        <v>20</v>
      </c>
      <c r="L24" t="s">
        <v>83</v>
      </c>
      <c r="M24" t="s">
        <v>24</v>
      </c>
      <c r="N24">
        <v>11</v>
      </c>
      <c r="O24" s="18">
        <v>1176</v>
      </c>
      <c r="P24" s="18">
        <v>605</v>
      </c>
      <c r="Q24" s="18">
        <v>55</v>
      </c>
      <c r="R24">
        <v>64680</v>
      </c>
      <c r="S24">
        <v>1</v>
      </c>
      <c r="T24">
        <v>0</v>
      </c>
      <c r="U24" t="s">
        <v>75</v>
      </c>
      <c r="V24" t="s">
        <v>75</v>
      </c>
      <c r="W24" t="s">
        <v>77</v>
      </c>
      <c r="X24" t="s">
        <v>83</v>
      </c>
      <c r="Y24" t="s">
        <v>24</v>
      </c>
      <c r="Z24" t="s">
        <v>17</v>
      </c>
      <c r="AA24" t="s">
        <v>17</v>
      </c>
      <c r="AB24">
        <v>0</v>
      </c>
      <c r="AC24">
        <v>0</v>
      </c>
      <c r="AD24">
        <v>0</v>
      </c>
      <c r="AE24">
        <v>0</v>
      </c>
      <c r="AF24" t="s">
        <v>74</v>
      </c>
      <c r="AG24" t="s">
        <v>75</v>
      </c>
      <c r="AH24" t="s">
        <v>75</v>
      </c>
      <c r="AI24" t="s">
        <v>75</v>
      </c>
    </row>
    <row r="25" spans="1:35" x14ac:dyDescent="0.35">
      <c r="A25">
        <v>74</v>
      </c>
      <c r="B25" s="17">
        <v>45426</v>
      </c>
      <c r="C25" t="s">
        <v>74</v>
      </c>
      <c r="D25" t="s">
        <v>75</v>
      </c>
      <c r="E25" t="s">
        <v>84</v>
      </c>
      <c r="F25" t="s">
        <v>16</v>
      </c>
      <c r="G25" t="s">
        <v>75</v>
      </c>
      <c r="H25" t="s">
        <v>79</v>
      </c>
      <c r="I25">
        <v>0</v>
      </c>
      <c r="J25">
        <v>0</v>
      </c>
      <c r="K25" t="s">
        <v>20</v>
      </c>
      <c r="L25" t="s">
        <v>79</v>
      </c>
      <c r="M25" t="s">
        <v>21</v>
      </c>
      <c r="N25">
        <v>14</v>
      </c>
      <c r="O25" s="18">
        <v>54</v>
      </c>
      <c r="P25" s="18">
        <v>4200</v>
      </c>
      <c r="Q25" s="18">
        <v>300</v>
      </c>
      <c r="R25">
        <v>16200</v>
      </c>
      <c r="S25">
        <v>1</v>
      </c>
      <c r="T25">
        <v>0</v>
      </c>
      <c r="U25" t="s">
        <v>75</v>
      </c>
      <c r="V25" t="s">
        <v>75</v>
      </c>
      <c r="W25" t="s">
        <v>77</v>
      </c>
      <c r="X25" t="s">
        <v>98</v>
      </c>
      <c r="Y25" t="s">
        <v>21</v>
      </c>
      <c r="Z25" t="s">
        <v>17</v>
      </c>
      <c r="AA25" t="s">
        <v>99</v>
      </c>
      <c r="AB25">
        <v>6</v>
      </c>
      <c r="AC25">
        <v>60</v>
      </c>
      <c r="AD25">
        <v>0</v>
      </c>
      <c r="AE25">
        <v>0</v>
      </c>
      <c r="AF25" t="s">
        <v>74</v>
      </c>
      <c r="AG25" t="s">
        <v>100</v>
      </c>
      <c r="AH25" t="s">
        <v>75</v>
      </c>
      <c r="AI25" t="s">
        <v>75</v>
      </c>
    </row>
    <row r="26" spans="1:35" x14ac:dyDescent="0.35">
      <c r="A26">
        <v>74</v>
      </c>
      <c r="B26" s="17">
        <v>45426</v>
      </c>
      <c r="C26" t="s">
        <v>74</v>
      </c>
      <c r="D26" t="s">
        <v>75</v>
      </c>
      <c r="E26" t="s">
        <v>84</v>
      </c>
      <c r="F26" t="s">
        <v>16</v>
      </c>
      <c r="G26" t="s">
        <v>75</v>
      </c>
      <c r="H26" t="s">
        <v>82</v>
      </c>
      <c r="I26">
        <v>0</v>
      </c>
      <c r="J26">
        <v>0</v>
      </c>
      <c r="K26" t="s">
        <v>20</v>
      </c>
      <c r="L26" t="s">
        <v>82</v>
      </c>
      <c r="M26" t="s">
        <v>24</v>
      </c>
      <c r="N26">
        <v>46</v>
      </c>
      <c r="O26" s="18">
        <v>19669.824000000001</v>
      </c>
      <c r="P26" s="18">
        <v>1748</v>
      </c>
      <c r="Q26" s="18">
        <v>38</v>
      </c>
      <c r="R26">
        <v>747453.31200000003</v>
      </c>
      <c r="S26">
        <v>1</v>
      </c>
      <c r="T26">
        <v>0</v>
      </c>
      <c r="U26" t="s">
        <v>75</v>
      </c>
      <c r="V26" t="s">
        <v>75</v>
      </c>
      <c r="W26" t="s">
        <v>77</v>
      </c>
      <c r="X26" t="s">
        <v>95</v>
      </c>
      <c r="Y26" t="s">
        <v>24</v>
      </c>
      <c r="Z26" t="s">
        <v>17</v>
      </c>
      <c r="AA26" t="s">
        <v>78</v>
      </c>
      <c r="AB26">
        <v>0</v>
      </c>
      <c r="AC26">
        <v>0</v>
      </c>
      <c r="AD26">
        <v>0</v>
      </c>
      <c r="AE26">
        <v>0</v>
      </c>
      <c r="AF26" t="s">
        <v>74</v>
      </c>
      <c r="AG26" t="s">
        <v>100</v>
      </c>
      <c r="AH26" t="s">
        <v>75</v>
      </c>
      <c r="AI26" t="s">
        <v>75</v>
      </c>
    </row>
    <row r="27" spans="1:35" x14ac:dyDescent="0.35">
      <c r="A27">
        <v>76</v>
      </c>
      <c r="B27" s="17">
        <v>45440</v>
      </c>
      <c r="C27" t="s">
        <v>74</v>
      </c>
      <c r="D27" t="s">
        <v>75</v>
      </c>
      <c r="E27" t="s">
        <v>84</v>
      </c>
      <c r="F27" t="s">
        <v>16</v>
      </c>
      <c r="G27" t="s">
        <v>75</v>
      </c>
      <c r="H27" t="s">
        <v>76</v>
      </c>
      <c r="I27">
        <v>0</v>
      </c>
      <c r="J27">
        <v>0</v>
      </c>
      <c r="K27" t="s">
        <v>20</v>
      </c>
      <c r="L27" t="s">
        <v>76</v>
      </c>
      <c r="M27" t="s">
        <v>21</v>
      </c>
      <c r="N27">
        <v>3</v>
      </c>
      <c r="O27" s="18">
        <v>192</v>
      </c>
      <c r="P27" s="18">
        <v>495</v>
      </c>
      <c r="Q27" s="18">
        <v>165</v>
      </c>
      <c r="R27">
        <v>31680</v>
      </c>
      <c r="S27">
        <v>1</v>
      </c>
      <c r="T27">
        <v>0</v>
      </c>
      <c r="U27" t="s">
        <v>75</v>
      </c>
      <c r="V27" t="s">
        <v>75</v>
      </c>
      <c r="W27" t="s">
        <v>77</v>
      </c>
      <c r="X27" t="s">
        <v>97</v>
      </c>
      <c r="Y27" t="s">
        <v>21</v>
      </c>
      <c r="Z27" t="s">
        <v>17</v>
      </c>
      <c r="AA27" t="s">
        <v>17</v>
      </c>
      <c r="AB27">
        <v>0</v>
      </c>
      <c r="AC27">
        <v>0</v>
      </c>
      <c r="AD27">
        <v>0</v>
      </c>
      <c r="AE27">
        <v>0</v>
      </c>
      <c r="AF27" t="s">
        <v>75</v>
      </c>
      <c r="AG27" t="s">
        <v>75</v>
      </c>
      <c r="AH27" t="s">
        <v>75</v>
      </c>
      <c r="AI27" t="s">
        <v>75</v>
      </c>
    </row>
    <row r="28" spans="1:35" x14ac:dyDescent="0.35">
      <c r="A28">
        <v>77</v>
      </c>
      <c r="B28" s="17">
        <v>45440</v>
      </c>
      <c r="C28" t="s">
        <v>74</v>
      </c>
      <c r="D28" t="s">
        <v>75</v>
      </c>
      <c r="E28" t="s">
        <v>84</v>
      </c>
      <c r="F28" t="s">
        <v>16</v>
      </c>
      <c r="G28" t="s">
        <v>75</v>
      </c>
      <c r="H28" t="s">
        <v>83</v>
      </c>
      <c r="I28">
        <v>0</v>
      </c>
      <c r="J28">
        <v>0</v>
      </c>
      <c r="K28" t="s">
        <v>20</v>
      </c>
      <c r="L28" t="s">
        <v>83</v>
      </c>
      <c r="M28" t="s">
        <v>24</v>
      </c>
      <c r="N28">
        <v>150</v>
      </c>
      <c r="O28" s="18">
        <v>1176</v>
      </c>
      <c r="P28" s="18">
        <v>8250</v>
      </c>
      <c r="Q28" s="18">
        <v>55</v>
      </c>
      <c r="R28">
        <v>64680</v>
      </c>
      <c r="S28">
        <v>1</v>
      </c>
      <c r="T28">
        <v>0</v>
      </c>
      <c r="U28" t="s">
        <v>75</v>
      </c>
      <c r="V28" t="s">
        <v>75</v>
      </c>
      <c r="W28" t="s">
        <v>77</v>
      </c>
      <c r="X28" t="s">
        <v>83</v>
      </c>
      <c r="Y28" t="s">
        <v>24</v>
      </c>
      <c r="Z28" t="s">
        <v>17</v>
      </c>
      <c r="AA28" t="s">
        <v>17</v>
      </c>
      <c r="AB28">
        <v>0</v>
      </c>
      <c r="AC28">
        <v>0</v>
      </c>
      <c r="AD28">
        <v>0</v>
      </c>
      <c r="AE28">
        <v>0</v>
      </c>
      <c r="AF28" t="s">
        <v>75</v>
      </c>
      <c r="AG28" t="s">
        <v>75</v>
      </c>
      <c r="AH28" t="s">
        <v>75</v>
      </c>
      <c r="AI28" t="s">
        <v>75</v>
      </c>
    </row>
    <row r="29" spans="1:35" x14ac:dyDescent="0.35">
      <c r="A29">
        <v>78</v>
      </c>
      <c r="B29" s="17">
        <v>45450</v>
      </c>
      <c r="C29" t="s">
        <v>74</v>
      </c>
      <c r="D29" t="s">
        <v>75</v>
      </c>
      <c r="E29" t="s">
        <v>84</v>
      </c>
      <c r="F29" t="s">
        <v>16</v>
      </c>
      <c r="G29" t="s">
        <v>75</v>
      </c>
      <c r="H29" t="s">
        <v>80</v>
      </c>
      <c r="I29">
        <v>0.15</v>
      </c>
      <c r="J29">
        <v>9.75</v>
      </c>
      <c r="K29" t="s">
        <v>20</v>
      </c>
      <c r="L29" t="s">
        <v>80</v>
      </c>
      <c r="M29" t="s">
        <v>24</v>
      </c>
      <c r="N29">
        <v>65</v>
      </c>
      <c r="O29" s="18">
        <v>19669.824000000001</v>
      </c>
      <c r="P29" s="18">
        <v>2470</v>
      </c>
      <c r="Q29" s="18">
        <v>38</v>
      </c>
      <c r="R29">
        <v>747453.31200000003</v>
      </c>
      <c r="S29">
        <v>1</v>
      </c>
      <c r="T29">
        <v>0</v>
      </c>
      <c r="U29" t="s">
        <v>75</v>
      </c>
      <c r="V29" t="s">
        <v>75</v>
      </c>
      <c r="W29" t="s">
        <v>77</v>
      </c>
      <c r="X29" t="s">
        <v>101</v>
      </c>
      <c r="Y29" t="s">
        <v>24</v>
      </c>
      <c r="Z29" t="s">
        <v>17</v>
      </c>
      <c r="AA29" t="s">
        <v>81</v>
      </c>
      <c r="AB29">
        <v>6</v>
      </c>
      <c r="AC29">
        <v>60</v>
      </c>
      <c r="AD29">
        <v>0</v>
      </c>
      <c r="AE29">
        <v>0</v>
      </c>
      <c r="AF29" t="s">
        <v>74</v>
      </c>
      <c r="AG29" t="s">
        <v>102</v>
      </c>
      <c r="AH29" t="s">
        <v>75</v>
      </c>
      <c r="AI29" t="s">
        <v>75</v>
      </c>
    </row>
    <row r="30" spans="1:35" x14ac:dyDescent="0.35">
      <c r="A30">
        <v>78</v>
      </c>
      <c r="B30" s="17">
        <v>45450</v>
      </c>
      <c r="C30" t="s">
        <v>74</v>
      </c>
      <c r="D30" t="s">
        <v>75</v>
      </c>
      <c r="E30" t="s">
        <v>84</v>
      </c>
      <c r="F30" t="s">
        <v>16</v>
      </c>
      <c r="G30" t="s">
        <v>75</v>
      </c>
      <c r="H30" t="s">
        <v>83</v>
      </c>
      <c r="I30">
        <v>0</v>
      </c>
      <c r="J30">
        <v>0</v>
      </c>
      <c r="K30" t="s">
        <v>20</v>
      </c>
      <c r="L30" t="s">
        <v>83</v>
      </c>
      <c r="M30" t="s">
        <v>24</v>
      </c>
      <c r="N30">
        <v>55</v>
      </c>
      <c r="O30" s="18">
        <v>1176</v>
      </c>
      <c r="P30" s="18">
        <v>3025</v>
      </c>
      <c r="Q30" s="18">
        <v>55</v>
      </c>
      <c r="R30">
        <v>64680</v>
      </c>
      <c r="S30">
        <v>1</v>
      </c>
      <c r="T30">
        <v>0</v>
      </c>
      <c r="U30" t="s">
        <v>75</v>
      </c>
      <c r="V30" t="s">
        <v>75</v>
      </c>
      <c r="W30" t="s">
        <v>77</v>
      </c>
      <c r="X30" t="s">
        <v>83</v>
      </c>
      <c r="Y30" t="s">
        <v>24</v>
      </c>
      <c r="Z30" t="s">
        <v>17</v>
      </c>
      <c r="AA30" t="s">
        <v>99</v>
      </c>
      <c r="AB30">
        <v>5</v>
      </c>
      <c r="AC30">
        <v>50</v>
      </c>
      <c r="AD30">
        <v>0</v>
      </c>
      <c r="AE30">
        <v>0</v>
      </c>
      <c r="AF30" t="s">
        <v>74</v>
      </c>
      <c r="AG30" t="s">
        <v>102</v>
      </c>
      <c r="AH30" t="s">
        <v>75</v>
      </c>
      <c r="AI30" t="s">
        <v>75</v>
      </c>
    </row>
    <row r="31" spans="1:35" x14ac:dyDescent="0.35">
      <c r="A31">
        <v>80</v>
      </c>
      <c r="B31" s="17">
        <v>45450</v>
      </c>
      <c r="C31" t="s">
        <v>74</v>
      </c>
      <c r="D31" t="s">
        <v>75</v>
      </c>
      <c r="E31" t="s">
        <v>20</v>
      </c>
      <c r="F31" t="s">
        <v>16</v>
      </c>
      <c r="G31" t="s">
        <v>75</v>
      </c>
      <c r="H31" t="s">
        <v>83</v>
      </c>
      <c r="I31">
        <v>0</v>
      </c>
      <c r="J31">
        <v>0</v>
      </c>
      <c r="K31" t="s">
        <v>20</v>
      </c>
      <c r="L31" t="s">
        <v>83</v>
      </c>
      <c r="M31" t="s">
        <v>24</v>
      </c>
      <c r="N31">
        <v>22</v>
      </c>
      <c r="O31" s="18">
        <v>1176</v>
      </c>
      <c r="P31" s="18">
        <v>1210</v>
      </c>
      <c r="Q31" s="18">
        <v>55</v>
      </c>
      <c r="R31">
        <v>64680</v>
      </c>
      <c r="S31">
        <v>1</v>
      </c>
      <c r="T31">
        <v>0</v>
      </c>
      <c r="U31" t="s">
        <v>75</v>
      </c>
      <c r="V31" t="s">
        <v>75</v>
      </c>
      <c r="W31" t="s">
        <v>77</v>
      </c>
      <c r="X31" t="s">
        <v>83</v>
      </c>
      <c r="Y31" t="s">
        <v>24</v>
      </c>
      <c r="Z31" t="s">
        <v>17</v>
      </c>
      <c r="AA31" t="s">
        <v>17</v>
      </c>
      <c r="AB31">
        <v>0</v>
      </c>
      <c r="AC31">
        <v>0</v>
      </c>
      <c r="AD31">
        <v>0</v>
      </c>
      <c r="AE31">
        <v>0</v>
      </c>
      <c r="AF31" t="s">
        <v>75</v>
      </c>
      <c r="AG31" t="s">
        <v>75</v>
      </c>
      <c r="AH31" t="s">
        <v>75</v>
      </c>
      <c r="AI31" t="s">
        <v>75</v>
      </c>
    </row>
    <row r="32" spans="1:35" x14ac:dyDescent="0.35">
      <c r="A32">
        <v>81</v>
      </c>
      <c r="B32" s="17">
        <v>45450</v>
      </c>
      <c r="C32" t="s">
        <v>74</v>
      </c>
      <c r="D32" t="s">
        <v>75</v>
      </c>
      <c r="E32" t="s">
        <v>84</v>
      </c>
      <c r="F32" t="s">
        <v>16</v>
      </c>
      <c r="G32" t="s">
        <v>75</v>
      </c>
      <c r="H32" t="s">
        <v>83</v>
      </c>
      <c r="I32">
        <v>0</v>
      </c>
      <c r="J32">
        <v>0</v>
      </c>
      <c r="K32" t="s">
        <v>20</v>
      </c>
      <c r="L32" t="s">
        <v>83</v>
      </c>
      <c r="M32" t="s">
        <v>24</v>
      </c>
      <c r="N32">
        <v>200</v>
      </c>
      <c r="O32" s="18">
        <v>1176</v>
      </c>
      <c r="P32" s="18">
        <v>11000</v>
      </c>
      <c r="Q32" s="18">
        <v>55</v>
      </c>
      <c r="R32">
        <v>64680</v>
      </c>
      <c r="S32">
        <v>1</v>
      </c>
      <c r="T32">
        <v>0</v>
      </c>
      <c r="U32" t="s">
        <v>75</v>
      </c>
      <c r="V32" t="s">
        <v>75</v>
      </c>
      <c r="W32" t="s">
        <v>77</v>
      </c>
      <c r="X32" t="s">
        <v>83</v>
      </c>
      <c r="Y32" t="s">
        <v>24</v>
      </c>
      <c r="Z32" t="s">
        <v>17</v>
      </c>
      <c r="AA32" t="s">
        <v>17</v>
      </c>
      <c r="AB32">
        <v>0</v>
      </c>
      <c r="AC32">
        <v>0</v>
      </c>
      <c r="AD32">
        <v>0</v>
      </c>
      <c r="AE32">
        <v>0</v>
      </c>
      <c r="AF32" t="s">
        <v>75</v>
      </c>
      <c r="AG32" t="s">
        <v>75</v>
      </c>
      <c r="AH32" t="s">
        <v>75</v>
      </c>
      <c r="AI32" t="s">
        <v>75</v>
      </c>
    </row>
    <row r="33" spans="1:35" x14ac:dyDescent="0.35">
      <c r="A33">
        <v>82</v>
      </c>
      <c r="B33" s="17">
        <v>45491</v>
      </c>
      <c r="C33" t="s">
        <v>74</v>
      </c>
      <c r="D33" t="s">
        <v>75</v>
      </c>
      <c r="E33" t="s">
        <v>84</v>
      </c>
      <c r="F33" t="s">
        <v>16</v>
      </c>
      <c r="G33" t="s">
        <v>75</v>
      </c>
      <c r="H33" t="s">
        <v>76</v>
      </c>
      <c r="I33">
        <v>0</v>
      </c>
      <c r="J33">
        <v>0</v>
      </c>
      <c r="K33" t="s">
        <v>20</v>
      </c>
      <c r="L33" t="s">
        <v>76</v>
      </c>
      <c r="M33" t="s">
        <v>21</v>
      </c>
      <c r="N33">
        <v>4</v>
      </c>
      <c r="O33" s="18">
        <v>192</v>
      </c>
      <c r="P33" s="18">
        <v>660</v>
      </c>
      <c r="Q33" s="18">
        <v>165</v>
      </c>
      <c r="R33">
        <v>31680</v>
      </c>
      <c r="S33">
        <v>1</v>
      </c>
      <c r="T33">
        <v>0</v>
      </c>
      <c r="U33" t="s">
        <v>75</v>
      </c>
      <c r="V33" t="s">
        <v>75</v>
      </c>
      <c r="W33" t="s">
        <v>77</v>
      </c>
      <c r="X33" t="s">
        <v>97</v>
      </c>
      <c r="Y33" t="s">
        <v>21</v>
      </c>
      <c r="Z33" t="s">
        <v>17</v>
      </c>
      <c r="AA33" t="s">
        <v>78</v>
      </c>
      <c r="AB33">
        <v>6</v>
      </c>
      <c r="AC33">
        <v>48</v>
      </c>
      <c r="AD33">
        <v>0</v>
      </c>
      <c r="AE33">
        <v>0</v>
      </c>
      <c r="AF33" t="s">
        <v>75</v>
      </c>
      <c r="AG33" t="s">
        <v>75</v>
      </c>
      <c r="AH33" t="s">
        <v>75</v>
      </c>
      <c r="AI33" t="s">
        <v>75</v>
      </c>
    </row>
    <row r="34" spans="1:35" x14ac:dyDescent="0.35">
      <c r="A34">
        <v>85</v>
      </c>
      <c r="B34" s="17">
        <v>45492</v>
      </c>
      <c r="C34" t="s">
        <v>74</v>
      </c>
      <c r="D34" t="s">
        <v>75</v>
      </c>
      <c r="E34" t="s">
        <v>84</v>
      </c>
      <c r="F34" t="s">
        <v>16</v>
      </c>
      <c r="G34" t="s">
        <v>75</v>
      </c>
      <c r="H34" t="s">
        <v>79</v>
      </c>
      <c r="I34">
        <v>0</v>
      </c>
      <c r="J34">
        <v>0</v>
      </c>
      <c r="K34" t="s">
        <v>20</v>
      </c>
      <c r="L34" t="s">
        <v>79</v>
      </c>
      <c r="M34" t="s">
        <v>21</v>
      </c>
      <c r="N34">
        <v>4</v>
      </c>
      <c r="O34" s="18">
        <v>54</v>
      </c>
      <c r="P34" s="18">
        <v>1200</v>
      </c>
      <c r="Q34" s="18">
        <v>300</v>
      </c>
      <c r="R34">
        <v>16200</v>
      </c>
      <c r="S34">
        <v>1</v>
      </c>
      <c r="T34">
        <v>0</v>
      </c>
      <c r="U34" t="s">
        <v>75</v>
      </c>
      <c r="V34" t="s">
        <v>75</v>
      </c>
      <c r="W34" t="s">
        <v>77</v>
      </c>
      <c r="X34" t="s">
        <v>98</v>
      </c>
      <c r="Y34" t="s">
        <v>21</v>
      </c>
      <c r="Z34" t="s">
        <v>17</v>
      </c>
      <c r="AA34" t="s">
        <v>85</v>
      </c>
      <c r="AB34">
        <v>0</v>
      </c>
      <c r="AC34">
        <v>0</v>
      </c>
      <c r="AD34">
        <v>0</v>
      </c>
      <c r="AE34">
        <v>0</v>
      </c>
      <c r="AF34" t="s">
        <v>75</v>
      </c>
      <c r="AG34" t="s">
        <v>75</v>
      </c>
      <c r="AH34" t="s">
        <v>75</v>
      </c>
      <c r="AI34" t="s">
        <v>75</v>
      </c>
    </row>
    <row r="35" spans="1:35" x14ac:dyDescent="0.35">
      <c r="A35">
        <v>86</v>
      </c>
      <c r="B35" s="17">
        <v>45511</v>
      </c>
      <c r="C35" t="s">
        <v>74</v>
      </c>
      <c r="D35" t="s">
        <v>75</v>
      </c>
      <c r="E35" t="s">
        <v>84</v>
      </c>
      <c r="F35" t="s">
        <v>16</v>
      </c>
      <c r="G35" t="s">
        <v>75</v>
      </c>
      <c r="H35" t="s">
        <v>80</v>
      </c>
      <c r="I35">
        <v>0.15</v>
      </c>
      <c r="J35">
        <v>6.75</v>
      </c>
      <c r="K35" t="s">
        <v>20</v>
      </c>
      <c r="L35" t="s">
        <v>80</v>
      </c>
      <c r="M35" t="s">
        <v>24</v>
      </c>
      <c r="N35">
        <v>45</v>
      </c>
      <c r="O35" s="18">
        <v>19669.824000000001</v>
      </c>
      <c r="P35" s="18">
        <v>1710</v>
      </c>
      <c r="Q35" s="18">
        <v>38</v>
      </c>
      <c r="R35">
        <v>747453.31200000003</v>
      </c>
      <c r="S35">
        <v>1</v>
      </c>
      <c r="T35">
        <v>0</v>
      </c>
      <c r="U35" t="s">
        <v>75</v>
      </c>
      <c r="V35" t="s">
        <v>75</v>
      </c>
      <c r="W35" t="s">
        <v>77</v>
      </c>
      <c r="X35" t="s">
        <v>101</v>
      </c>
      <c r="Y35" t="s">
        <v>24</v>
      </c>
      <c r="Z35" t="s">
        <v>17</v>
      </c>
      <c r="AA35" t="s">
        <v>99</v>
      </c>
      <c r="AB35">
        <v>5</v>
      </c>
      <c r="AC35">
        <v>50</v>
      </c>
      <c r="AD35">
        <v>0</v>
      </c>
      <c r="AE35">
        <v>0</v>
      </c>
      <c r="AF35" t="s">
        <v>74</v>
      </c>
      <c r="AG35" t="s">
        <v>103</v>
      </c>
      <c r="AH35" t="s">
        <v>75</v>
      </c>
      <c r="AI35" t="s">
        <v>75</v>
      </c>
    </row>
    <row r="36" spans="1:35" x14ac:dyDescent="0.35">
      <c r="A36">
        <v>88</v>
      </c>
      <c r="B36" s="17">
        <v>45511</v>
      </c>
      <c r="C36" t="s">
        <v>74</v>
      </c>
      <c r="D36" t="s">
        <v>75</v>
      </c>
      <c r="E36" t="s">
        <v>84</v>
      </c>
      <c r="F36" t="s">
        <v>16</v>
      </c>
      <c r="G36" t="s">
        <v>75</v>
      </c>
      <c r="H36" t="s">
        <v>76</v>
      </c>
      <c r="I36">
        <v>0</v>
      </c>
      <c r="J36">
        <v>0</v>
      </c>
      <c r="K36" t="s">
        <v>20</v>
      </c>
      <c r="L36" t="s">
        <v>76</v>
      </c>
      <c r="M36" t="s">
        <v>21</v>
      </c>
      <c r="N36">
        <v>6</v>
      </c>
      <c r="O36" s="18">
        <v>192</v>
      </c>
      <c r="P36" s="18">
        <v>990</v>
      </c>
      <c r="Q36" s="18">
        <v>165</v>
      </c>
      <c r="R36">
        <v>31680</v>
      </c>
      <c r="S36">
        <v>1</v>
      </c>
      <c r="T36">
        <v>0</v>
      </c>
      <c r="U36" t="s">
        <v>75</v>
      </c>
      <c r="V36" t="s">
        <v>75</v>
      </c>
      <c r="W36" t="s">
        <v>77</v>
      </c>
      <c r="X36" t="s">
        <v>97</v>
      </c>
      <c r="Y36" t="s">
        <v>21</v>
      </c>
      <c r="Z36" t="s">
        <v>17</v>
      </c>
      <c r="AA36" t="s">
        <v>17</v>
      </c>
      <c r="AB36">
        <v>0</v>
      </c>
      <c r="AC36">
        <v>0</v>
      </c>
      <c r="AD36">
        <v>0</v>
      </c>
      <c r="AE36">
        <v>0</v>
      </c>
      <c r="AF36" t="s">
        <v>75</v>
      </c>
      <c r="AG36" t="s">
        <v>75</v>
      </c>
      <c r="AH36" t="s">
        <v>75</v>
      </c>
      <c r="AI36" t="s">
        <v>75</v>
      </c>
    </row>
    <row r="37" spans="1:35" x14ac:dyDescent="0.35">
      <c r="A37">
        <v>97</v>
      </c>
      <c r="B37" s="17">
        <v>45544</v>
      </c>
      <c r="C37" t="s">
        <v>74</v>
      </c>
      <c r="D37" t="s">
        <v>75</v>
      </c>
      <c r="E37" t="s">
        <v>84</v>
      </c>
      <c r="F37" t="s">
        <v>16</v>
      </c>
      <c r="G37" t="s">
        <v>75</v>
      </c>
      <c r="H37" t="s">
        <v>82</v>
      </c>
      <c r="I37">
        <v>0</v>
      </c>
      <c r="J37">
        <v>0</v>
      </c>
      <c r="K37" t="s">
        <v>20</v>
      </c>
      <c r="L37" t="s">
        <v>82</v>
      </c>
      <c r="M37" t="s">
        <v>24</v>
      </c>
      <c r="N37">
        <v>65</v>
      </c>
      <c r="O37" s="18">
        <v>19669.824000000001</v>
      </c>
      <c r="P37" s="18">
        <v>2470</v>
      </c>
      <c r="Q37" s="18">
        <v>38</v>
      </c>
      <c r="R37">
        <v>747453.31200000003</v>
      </c>
      <c r="S37">
        <v>1</v>
      </c>
      <c r="T37">
        <v>0</v>
      </c>
      <c r="U37" t="s">
        <v>75</v>
      </c>
      <c r="V37" t="s">
        <v>75</v>
      </c>
      <c r="W37" t="s">
        <v>77</v>
      </c>
      <c r="X37" t="s">
        <v>95</v>
      </c>
      <c r="Y37" t="s">
        <v>24</v>
      </c>
      <c r="Z37" t="s">
        <v>17</v>
      </c>
      <c r="AA37" t="s">
        <v>99</v>
      </c>
      <c r="AB37">
        <v>4</v>
      </c>
      <c r="AC37">
        <v>36</v>
      </c>
      <c r="AD37">
        <v>0</v>
      </c>
      <c r="AE37">
        <v>0</v>
      </c>
      <c r="AF37" t="s">
        <v>75</v>
      </c>
      <c r="AG37" t="s">
        <v>104</v>
      </c>
      <c r="AH37" t="s">
        <v>75</v>
      </c>
      <c r="AI37" t="s">
        <v>75</v>
      </c>
    </row>
    <row r="38" spans="1:35" x14ac:dyDescent="0.35">
      <c r="A38">
        <v>99</v>
      </c>
      <c r="B38" s="17">
        <v>45544</v>
      </c>
      <c r="C38" t="s">
        <v>74</v>
      </c>
      <c r="D38" t="s">
        <v>75</v>
      </c>
      <c r="E38" t="s">
        <v>84</v>
      </c>
      <c r="F38" t="s">
        <v>16</v>
      </c>
      <c r="G38" t="s">
        <v>75</v>
      </c>
      <c r="H38" t="s">
        <v>76</v>
      </c>
      <c r="I38">
        <v>0</v>
      </c>
      <c r="J38">
        <v>0</v>
      </c>
      <c r="K38" t="s">
        <v>20</v>
      </c>
      <c r="L38" t="s">
        <v>76</v>
      </c>
      <c r="M38" t="s">
        <v>21</v>
      </c>
      <c r="N38">
        <v>4</v>
      </c>
      <c r="O38" s="18">
        <v>192</v>
      </c>
      <c r="P38" s="18">
        <v>660</v>
      </c>
      <c r="Q38" s="18">
        <v>165</v>
      </c>
      <c r="R38">
        <v>31680</v>
      </c>
      <c r="S38">
        <v>1</v>
      </c>
      <c r="T38">
        <v>0</v>
      </c>
      <c r="U38" t="s">
        <v>75</v>
      </c>
      <c r="V38" t="s">
        <v>75</v>
      </c>
      <c r="W38" t="s">
        <v>77</v>
      </c>
      <c r="X38" t="s">
        <v>97</v>
      </c>
      <c r="Y38" t="s">
        <v>21</v>
      </c>
      <c r="Z38" t="s">
        <v>17</v>
      </c>
      <c r="AA38" t="s">
        <v>17</v>
      </c>
      <c r="AB38">
        <v>0</v>
      </c>
      <c r="AC38">
        <v>0</v>
      </c>
      <c r="AD38">
        <v>0</v>
      </c>
      <c r="AE38">
        <v>0</v>
      </c>
      <c r="AF38" t="s">
        <v>75</v>
      </c>
      <c r="AG38" t="s">
        <v>75</v>
      </c>
      <c r="AH38" t="s">
        <v>75</v>
      </c>
      <c r="AI38" t="s">
        <v>75</v>
      </c>
    </row>
    <row r="39" spans="1:35" x14ac:dyDescent="0.35">
      <c r="A39">
        <v>100</v>
      </c>
      <c r="B39" s="17">
        <v>45544</v>
      </c>
      <c r="C39" t="s">
        <v>74</v>
      </c>
      <c r="D39" t="s">
        <v>75</v>
      </c>
      <c r="E39" t="s">
        <v>84</v>
      </c>
      <c r="F39" t="s">
        <v>16</v>
      </c>
      <c r="G39" t="s">
        <v>75</v>
      </c>
      <c r="H39" t="s">
        <v>79</v>
      </c>
      <c r="I39">
        <v>0</v>
      </c>
      <c r="J39">
        <v>0</v>
      </c>
      <c r="K39" t="s">
        <v>20</v>
      </c>
      <c r="L39" t="s">
        <v>79</v>
      </c>
      <c r="M39" t="s">
        <v>21</v>
      </c>
      <c r="N39">
        <v>10</v>
      </c>
      <c r="O39" s="18">
        <v>54</v>
      </c>
      <c r="P39" s="18">
        <v>3000</v>
      </c>
      <c r="Q39" s="18">
        <v>300</v>
      </c>
      <c r="R39">
        <v>16200</v>
      </c>
      <c r="S39">
        <v>1</v>
      </c>
      <c r="T39">
        <v>0</v>
      </c>
      <c r="U39" t="s">
        <v>75</v>
      </c>
      <c r="V39" t="s">
        <v>75</v>
      </c>
      <c r="W39" t="s">
        <v>77</v>
      </c>
      <c r="X39" t="s">
        <v>98</v>
      </c>
      <c r="Y39" t="s">
        <v>21</v>
      </c>
      <c r="Z39" t="s">
        <v>17</v>
      </c>
      <c r="AA39" t="s">
        <v>17</v>
      </c>
      <c r="AB39">
        <v>0</v>
      </c>
      <c r="AC39">
        <v>0</v>
      </c>
      <c r="AD39">
        <v>0</v>
      </c>
      <c r="AE39">
        <v>0</v>
      </c>
      <c r="AF39" t="s">
        <v>75</v>
      </c>
      <c r="AG39" t="s">
        <v>75</v>
      </c>
      <c r="AH39" t="s">
        <v>75</v>
      </c>
      <c r="AI39" t="s">
        <v>75</v>
      </c>
    </row>
    <row r="40" spans="1:35" x14ac:dyDescent="0.35">
      <c r="A40">
        <v>102</v>
      </c>
      <c r="B40" s="17">
        <v>45581</v>
      </c>
      <c r="C40" s="19" t="s">
        <v>74</v>
      </c>
      <c r="D40" s="19" t="s">
        <v>75</v>
      </c>
      <c r="E40" s="19" t="s">
        <v>105</v>
      </c>
      <c r="F40" t="s">
        <v>16</v>
      </c>
      <c r="G40" t="s">
        <v>75</v>
      </c>
      <c r="H40" t="s">
        <v>82</v>
      </c>
      <c r="I40">
        <v>0</v>
      </c>
      <c r="J40">
        <v>0</v>
      </c>
      <c r="K40" t="s">
        <v>20</v>
      </c>
      <c r="L40" t="s">
        <v>82</v>
      </c>
      <c r="M40" t="s">
        <v>24</v>
      </c>
      <c r="N40">
        <v>33</v>
      </c>
      <c r="O40" s="18">
        <v>19669.824000000001</v>
      </c>
      <c r="P40" s="18">
        <v>1254</v>
      </c>
      <c r="Q40" s="18">
        <v>38</v>
      </c>
      <c r="R40">
        <v>747453.31200000003</v>
      </c>
      <c r="S40">
        <v>1</v>
      </c>
      <c r="T40">
        <v>0</v>
      </c>
      <c r="U40" t="s">
        <v>75</v>
      </c>
      <c r="V40" t="s">
        <v>75</v>
      </c>
      <c r="W40" t="s">
        <v>77</v>
      </c>
      <c r="X40" t="s">
        <v>95</v>
      </c>
      <c r="Y40" t="s">
        <v>24</v>
      </c>
      <c r="Z40" t="s">
        <v>17</v>
      </c>
      <c r="AA40" t="s">
        <v>94</v>
      </c>
      <c r="AB40">
        <v>3</v>
      </c>
      <c r="AC40">
        <v>27</v>
      </c>
      <c r="AD40">
        <v>0</v>
      </c>
      <c r="AE40">
        <v>0</v>
      </c>
      <c r="AF40" t="s">
        <v>74</v>
      </c>
      <c r="AG40" t="s">
        <v>106</v>
      </c>
      <c r="AH40" t="s">
        <v>75</v>
      </c>
      <c r="AI40" t="s">
        <v>75</v>
      </c>
    </row>
    <row r="41" spans="1:35" x14ac:dyDescent="0.35">
      <c r="A41">
        <v>104</v>
      </c>
      <c r="B41" s="17">
        <v>45581</v>
      </c>
      <c r="C41" t="s">
        <v>74</v>
      </c>
      <c r="D41" t="s">
        <v>75</v>
      </c>
      <c r="E41" t="s">
        <v>84</v>
      </c>
      <c r="F41" t="s">
        <v>16</v>
      </c>
      <c r="G41" t="s">
        <v>75</v>
      </c>
      <c r="H41" t="s">
        <v>107</v>
      </c>
      <c r="I41">
        <v>0</v>
      </c>
      <c r="J41">
        <v>0</v>
      </c>
      <c r="K41" t="s">
        <v>20</v>
      </c>
      <c r="L41" t="s">
        <v>107</v>
      </c>
      <c r="M41" t="s">
        <v>21</v>
      </c>
      <c r="N41">
        <v>90</v>
      </c>
      <c r="O41" s="18">
        <v>1825</v>
      </c>
      <c r="P41" s="18">
        <v>40950</v>
      </c>
      <c r="Q41" s="18">
        <v>455</v>
      </c>
      <c r="R41">
        <v>830375</v>
      </c>
      <c r="S41">
        <v>1</v>
      </c>
      <c r="T41">
        <v>0</v>
      </c>
      <c r="U41" t="s">
        <v>75</v>
      </c>
      <c r="V41" t="s">
        <v>75</v>
      </c>
      <c r="W41" t="s">
        <v>77</v>
      </c>
      <c r="X41" t="s">
        <v>108</v>
      </c>
      <c r="Y41" t="s">
        <v>21</v>
      </c>
      <c r="Z41" t="s">
        <v>17</v>
      </c>
      <c r="AA41" t="s">
        <v>17</v>
      </c>
      <c r="AB41">
        <v>0</v>
      </c>
      <c r="AC41">
        <v>0</v>
      </c>
      <c r="AD41">
        <v>0</v>
      </c>
      <c r="AE41">
        <v>0</v>
      </c>
      <c r="AF41" t="s">
        <v>74</v>
      </c>
      <c r="AG41" t="s">
        <v>75</v>
      </c>
      <c r="AH41" t="s">
        <v>75</v>
      </c>
      <c r="AI41" t="s">
        <v>75</v>
      </c>
    </row>
    <row r="42" spans="1:35" x14ac:dyDescent="0.35">
      <c r="A42">
        <v>105</v>
      </c>
      <c r="B42" s="17">
        <v>45581</v>
      </c>
      <c r="C42" t="s">
        <v>74</v>
      </c>
      <c r="D42" t="s">
        <v>75</v>
      </c>
      <c r="E42" t="s">
        <v>84</v>
      </c>
      <c r="F42" t="s">
        <v>16</v>
      </c>
      <c r="G42" t="s">
        <v>75</v>
      </c>
      <c r="H42" t="s">
        <v>88</v>
      </c>
      <c r="I42">
        <v>0</v>
      </c>
      <c r="J42">
        <v>0</v>
      </c>
      <c r="K42" t="s">
        <v>20</v>
      </c>
      <c r="L42" t="s">
        <v>88</v>
      </c>
      <c r="M42" t="s">
        <v>21</v>
      </c>
      <c r="N42">
        <v>10</v>
      </c>
      <c r="O42" s="18">
        <v>14</v>
      </c>
      <c r="P42" s="18">
        <v>18760</v>
      </c>
      <c r="Q42" s="18">
        <v>1876</v>
      </c>
      <c r="R42">
        <v>26264</v>
      </c>
      <c r="S42">
        <v>1</v>
      </c>
      <c r="T42">
        <v>0</v>
      </c>
      <c r="U42" t="s">
        <v>75</v>
      </c>
      <c r="V42" t="s">
        <v>75</v>
      </c>
      <c r="W42" t="s">
        <v>77</v>
      </c>
      <c r="X42" t="s">
        <v>109</v>
      </c>
      <c r="Y42" t="s">
        <v>21</v>
      </c>
      <c r="Z42" t="s">
        <v>17</v>
      </c>
      <c r="AA42" t="s">
        <v>17</v>
      </c>
      <c r="AB42">
        <v>0</v>
      </c>
      <c r="AC42">
        <v>0</v>
      </c>
      <c r="AD42">
        <v>0</v>
      </c>
      <c r="AE42">
        <v>0</v>
      </c>
      <c r="AF42" t="s">
        <v>75</v>
      </c>
      <c r="AG42" t="s">
        <v>75</v>
      </c>
      <c r="AH42" t="s">
        <v>75</v>
      </c>
      <c r="AI42" t="s">
        <v>75</v>
      </c>
    </row>
    <row r="43" spans="1:35" x14ac:dyDescent="0.35">
      <c r="A43">
        <v>106</v>
      </c>
      <c r="B43" s="17">
        <v>45583</v>
      </c>
      <c r="C43" t="s">
        <v>74</v>
      </c>
      <c r="D43" t="s">
        <v>75</v>
      </c>
      <c r="E43" t="s">
        <v>84</v>
      </c>
      <c r="F43" t="s">
        <v>16</v>
      </c>
      <c r="G43" t="s">
        <v>75</v>
      </c>
      <c r="H43" t="s">
        <v>82</v>
      </c>
      <c r="I43">
        <v>0</v>
      </c>
      <c r="J43">
        <v>0</v>
      </c>
      <c r="K43" t="s">
        <v>20</v>
      </c>
      <c r="L43" t="s">
        <v>82</v>
      </c>
      <c r="M43" t="s">
        <v>24</v>
      </c>
      <c r="N43">
        <v>33</v>
      </c>
      <c r="O43" s="18">
        <v>19669.824000000001</v>
      </c>
      <c r="P43" s="18">
        <v>1254</v>
      </c>
      <c r="Q43" s="18">
        <v>38</v>
      </c>
      <c r="R43">
        <v>747453.31200000003</v>
      </c>
      <c r="S43">
        <v>1</v>
      </c>
      <c r="T43">
        <v>0</v>
      </c>
      <c r="U43" t="s">
        <v>75</v>
      </c>
      <c r="V43" t="s">
        <v>75</v>
      </c>
      <c r="W43" t="s">
        <v>77</v>
      </c>
      <c r="X43" t="s">
        <v>95</v>
      </c>
      <c r="Y43" t="s">
        <v>24</v>
      </c>
      <c r="Z43" t="s">
        <v>17</v>
      </c>
      <c r="AA43" t="s">
        <v>85</v>
      </c>
      <c r="AB43">
        <v>2</v>
      </c>
      <c r="AC43">
        <v>20</v>
      </c>
      <c r="AD43">
        <v>0</v>
      </c>
      <c r="AE43">
        <v>0</v>
      </c>
      <c r="AF43" t="s">
        <v>75</v>
      </c>
      <c r="AG43" t="s">
        <v>110</v>
      </c>
      <c r="AH43" t="s">
        <v>75</v>
      </c>
      <c r="AI43" t="s">
        <v>75</v>
      </c>
    </row>
    <row r="44" spans="1:35" x14ac:dyDescent="0.35">
      <c r="A44">
        <v>108</v>
      </c>
      <c r="B44" s="17">
        <v>45583</v>
      </c>
      <c r="C44" t="s">
        <v>74</v>
      </c>
      <c r="D44" t="s">
        <v>75</v>
      </c>
      <c r="E44" t="s">
        <v>84</v>
      </c>
      <c r="F44" t="s">
        <v>16</v>
      </c>
      <c r="G44" t="s">
        <v>75</v>
      </c>
      <c r="H44" t="s">
        <v>76</v>
      </c>
      <c r="I44">
        <v>0</v>
      </c>
      <c r="J44">
        <v>0</v>
      </c>
      <c r="K44" t="s">
        <v>20</v>
      </c>
      <c r="L44" t="s">
        <v>76</v>
      </c>
      <c r="M44" t="s">
        <v>21</v>
      </c>
      <c r="N44">
        <v>2</v>
      </c>
      <c r="O44" s="18">
        <v>192</v>
      </c>
      <c r="P44" s="18">
        <v>330</v>
      </c>
      <c r="Q44" s="18">
        <v>165</v>
      </c>
      <c r="R44">
        <v>31680</v>
      </c>
      <c r="S44">
        <v>1</v>
      </c>
      <c r="T44">
        <v>0</v>
      </c>
      <c r="U44" t="s">
        <v>75</v>
      </c>
      <c r="V44" t="s">
        <v>75</v>
      </c>
      <c r="W44" t="s">
        <v>77</v>
      </c>
      <c r="X44" t="s">
        <v>97</v>
      </c>
      <c r="Y44" t="s">
        <v>21</v>
      </c>
      <c r="Z44" t="s">
        <v>17</v>
      </c>
      <c r="AA44" t="s">
        <v>17</v>
      </c>
      <c r="AB44">
        <v>0</v>
      </c>
      <c r="AC44">
        <v>0</v>
      </c>
      <c r="AD44">
        <v>0</v>
      </c>
      <c r="AE44">
        <v>0</v>
      </c>
      <c r="AF44" t="s">
        <v>75</v>
      </c>
      <c r="AG44" t="s">
        <v>75</v>
      </c>
      <c r="AH44" t="s">
        <v>75</v>
      </c>
      <c r="AI44" t="s">
        <v>75</v>
      </c>
    </row>
    <row r="45" spans="1:35" x14ac:dyDescent="0.35">
      <c r="A45">
        <v>114</v>
      </c>
      <c r="B45" s="17">
        <v>45622</v>
      </c>
      <c r="C45" t="s">
        <v>74</v>
      </c>
      <c r="D45" t="s">
        <v>75</v>
      </c>
      <c r="E45" t="s">
        <v>84</v>
      </c>
      <c r="F45" t="s">
        <v>16</v>
      </c>
      <c r="G45" t="s">
        <v>75</v>
      </c>
      <c r="H45" t="s">
        <v>76</v>
      </c>
      <c r="I45">
        <v>0</v>
      </c>
      <c r="J45">
        <v>0</v>
      </c>
      <c r="K45" t="s">
        <v>20</v>
      </c>
      <c r="L45" t="s">
        <v>76</v>
      </c>
      <c r="M45" t="s">
        <v>21</v>
      </c>
      <c r="N45">
        <v>3</v>
      </c>
      <c r="O45" s="18">
        <v>192</v>
      </c>
      <c r="P45" s="18">
        <v>495</v>
      </c>
      <c r="Q45" s="18">
        <v>165</v>
      </c>
      <c r="R45">
        <v>31680</v>
      </c>
      <c r="S45">
        <v>1</v>
      </c>
      <c r="T45">
        <v>0</v>
      </c>
      <c r="U45" t="s">
        <v>75</v>
      </c>
      <c r="V45" t="s">
        <v>75</v>
      </c>
      <c r="W45" t="s">
        <v>77</v>
      </c>
      <c r="X45" t="s">
        <v>97</v>
      </c>
      <c r="Y45" t="s">
        <v>21</v>
      </c>
      <c r="Z45" t="s">
        <v>17</v>
      </c>
      <c r="AA45" t="s">
        <v>85</v>
      </c>
      <c r="AB45">
        <v>4</v>
      </c>
      <c r="AC45">
        <v>40</v>
      </c>
      <c r="AD45">
        <v>0</v>
      </c>
      <c r="AE45">
        <v>0</v>
      </c>
      <c r="AF45" t="s">
        <v>74</v>
      </c>
      <c r="AG45" t="s">
        <v>75</v>
      </c>
      <c r="AH45" t="s">
        <v>75</v>
      </c>
      <c r="AI45" t="s">
        <v>75</v>
      </c>
    </row>
    <row r="46" spans="1:35" x14ac:dyDescent="0.35">
      <c r="A46">
        <v>1</v>
      </c>
      <c r="B46" s="17">
        <v>45622</v>
      </c>
      <c r="C46" t="s">
        <v>74</v>
      </c>
      <c r="D46" t="s">
        <v>75</v>
      </c>
      <c r="E46" t="s">
        <v>84</v>
      </c>
      <c r="F46" t="s">
        <v>16</v>
      </c>
      <c r="G46" t="s">
        <v>75</v>
      </c>
      <c r="H46" t="s">
        <v>82</v>
      </c>
      <c r="I46">
        <v>0</v>
      </c>
      <c r="J46">
        <v>0</v>
      </c>
      <c r="K46" t="s">
        <v>20</v>
      </c>
      <c r="L46" t="s">
        <v>82</v>
      </c>
      <c r="M46" t="s">
        <v>24</v>
      </c>
      <c r="N46">
        <v>44</v>
      </c>
      <c r="O46" s="18">
        <v>19669.824000000001</v>
      </c>
      <c r="P46" s="18">
        <v>1672</v>
      </c>
      <c r="Q46" s="18">
        <v>38</v>
      </c>
      <c r="R46">
        <v>747453.31200000003</v>
      </c>
      <c r="S46">
        <v>1</v>
      </c>
      <c r="T46">
        <v>0</v>
      </c>
      <c r="U46" t="s">
        <v>75</v>
      </c>
      <c r="V46" t="s">
        <v>75</v>
      </c>
      <c r="W46" t="s">
        <v>77</v>
      </c>
      <c r="X46" t="s">
        <v>95</v>
      </c>
      <c r="Y46" t="s">
        <v>24</v>
      </c>
      <c r="Z46" t="s">
        <v>17</v>
      </c>
      <c r="AA46" t="s">
        <v>17</v>
      </c>
      <c r="AB46">
        <v>0</v>
      </c>
      <c r="AC46">
        <v>0</v>
      </c>
      <c r="AD46">
        <v>0</v>
      </c>
      <c r="AE46">
        <v>0</v>
      </c>
      <c r="AF46" t="s">
        <v>75</v>
      </c>
      <c r="AG46" t="s">
        <v>111</v>
      </c>
      <c r="AH46" t="s">
        <v>75</v>
      </c>
      <c r="AI46" t="s">
        <v>75</v>
      </c>
    </row>
    <row r="47" spans="1:35" x14ac:dyDescent="0.35">
      <c r="A47">
        <v>116</v>
      </c>
      <c r="B47" s="17">
        <v>45622</v>
      </c>
      <c r="C47" t="s">
        <v>74</v>
      </c>
      <c r="D47" t="s">
        <v>75</v>
      </c>
      <c r="E47" t="s">
        <v>84</v>
      </c>
      <c r="F47" t="s">
        <v>16</v>
      </c>
      <c r="G47" t="s">
        <v>75</v>
      </c>
      <c r="H47" t="s">
        <v>83</v>
      </c>
      <c r="I47">
        <v>0</v>
      </c>
      <c r="J47">
        <v>0</v>
      </c>
      <c r="K47" t="s">
        <v>20</v>
      </c>
      <c r="L47" t="s">
        <v>83</v>
      </c>
      <c r="M47" t="s">
        <v>24</v>
      </c>
      <c r="N47">
        <v>10</v>
      </c>
      <c r="O47" s="18">
        <v>1176</v>
      </c>
      <c r="P47" s="18">
        <v>550</v>
      </c>
      <c r="Q47" s="18">
        <v>55</v>
      </c>
      <c r="R47">
        <v>64680</v>
      </c>
      <c r="S47">
        <v>1</v>
      </c>
      <c r="T47">
        <v>0</v>
      </c>
      <c r="U47" t="s">
        <v>75</v>
      </c>
      <c r="V47" t="s">
        <v>75</v>
      </c>
      <c r="W47" t="s">
        <v>77</v>
      </c>
      <c r="X47" t="s">
        <v>83</v>
      </c>
      <c r="Y47" t="s">
        <v>24</v>
      </c>
      <c r="Z47" t="s">
        <v>17</v>
      </c>
      <c r="AA47" t="s">
        <v>99</v>
      </c>
      <c r="AB47">
        <v>0</v>
      </c>
      <c r="AC47">
        <v>0</v>
      </c>
      <c r="AD47">
        <v>0</v>
      </c>
      <c r="AE47">
        <v>0</v>
      </c>
      <c r="AF47" t="s">
        <v>75</v>
      </c>
      <c r="AG47" t="s">
        <v>75</v>
      </c>
      <c r="AH47" t="s">
        <v>75</v>
      </c>
      <c r="AI47" t="s">
        <v>75</v>
      </c>
    </row>
    <row r="48" spans="1:35" x14ac:dyDescent="0.35">
      <c r="A48">
        <v>117</v>
      </c>
      <c r="B48" s="17">
        <v>45624</v>
      </c>
      <c r="C48" t="s">
        <v>74</v>
      </c>
      <c r="D48" t="s">
        <v>75</v>
      </c>
      <c r="E48" t="s">
        <v>84</v>
      </c>
      <c r="F48" t="s">
        <v>16</v>
      </c>
      <c r="G48" t="s">
        <v>75</v>
      </c>
      <c r="H48" t="s">
        <v>82</v>
      </c>
      <c r="I48">
        <v>0</v>
      </c>
      <c r="J48">
        <v>0</v>
      </c>
      <c r="K48" t="s">
        <v>20</v>
      </c>
      <c r="L48" t="s">
        <v>82</v>
      </c>
      <c r="M48" t="s">
        <v>24</v>
      </c>
      <c r="N48">
        <v>33</v>
      </c>
      <c r="O48" s="18">
        <v>19669.824000000001</v>
      </c>
      <c r="P48" s="18">
        <v>1254</v>
      </c>
      <c r="Q48" s="18">
        <v>38</v>
      </c>
      <c r="R48">
        <v>747453.31200000003</v>
      </c>
      <c r="S48">
        <v>1</v>
      </c>
      <c r="T48">
        <v>0</v>
      </c>
      <c r="U48" t="s">
        <v>75</v>
      </c>
      <c r="V48" t="s">
        <v>75</v>
      </c>
      <c r="W48" t="s">
        <v>77</v>
      </c>
      <c r="X48" t="s">
        <v>95</v>
      </c>
      <c r="Y48" t="s">
        <v>24</v>
      </c>
      <c r="Z48" t="s">
        <v>17</v>
      </c>
      <c r="AA48" t="s">
        <v>99</v>
      </c>
      <c r="AB48">
        <v>4</v>
      </c>
      <c r="AC48">
        <v>40</v>
      </c>
      <c r="AD48">
        <v>0</v>
      </c>
      <c r="AE48">
        <v>0</v>
      </c>
      <c r="AF48" t="s">
        <v>74</v>
      </c>
      <c r="AG48" t="s">
        <v>112</v>
      </c>
      <c r="AH48" t="s">
        <v>75</v>
      </c>
      <c r="AI48" t="s">
        <v>75</v>
      </c>
    </row>
    <row r="49" spans="1:35" x14ac:dyDescent="0.35">
      <c r="A49">
        <v>119</v>
      </c>
      <c r="B49" s="17">
        <v>45624</v>
      </c>
      <c r="C49" t="s">
        <v>74</v>
      </c>
      <c r="D49" t="s">
        <v>75</v>
      </c>
      <c r="E49" t="s">
        <v>84</v>
      </c>
      <c r="F49" t="s">
        <v>16</v>
      </c>
      <c r="G49" t="s">
        <v>75</v>
      </c>
      <c r="H49" t="s">
        <v>76</v>
      </c>
      <c r="I49">
        <v>0</v>
      </c>
      <c r="J49">
        <v>0</v>
      </c>
      <c r="K49" t="s">
        <v>20</v>
      </c>
      <c r="L49" t="s">
        <v>76</v>
      </c>
      <c r="M49" t="s">
        <v>21</v>
      </c>
      <c r="N49">
        <v>10</v>
      </c>
      <c r="O49" s="18">
        <v>192</v>
      </c>
      <c r="P49" s="18">
        <v>1650</v>
      </c>
      <c r="Q49" s="18">
        <v>165</v>
      </c>
      <c r="R49">
        <v>31680</v>
      </c>
      <c r="S49">
        <v>1</v>
      </c>
      <c r="T49">
        <v>0</v>
      </c>
      <c r="U49" t="s">
        <v>75</v>
      </c>
      <c r="V49" t="s">
        <v>75</v>
      </c>
      <c r="W49" t="s">
        <v>77</v>
      </c>
      <c r="X49" t="s">
        <v>97</v>
      </c>
      <c r="Y49" t="s">
        <v>21</v>
      </c>
      <c r="Z49" t="s">
        <v>17</v>
      </c>
      <c r="AA49" t="s">
        <v>17</v>
      </c>
      <c r="AB49">
        <v>0</v>
      </c>
      <c r="AC49">
        <v>0</v>
      </c>
      <c r="AD49">
        <v>0</v>
      </c>
      <c r="AE49">
        <v>0</v>
      </c>
      <c r="AF49" t="s">
        <v>75</v>
      </c>
      <c r="AG49" t="s">
        <v>75</v>
      </c>
      <c r="AH49" t="s">
        <v>75</v>
      </c>
      <c r="AI49" t="s">
        <v>75</v>
      </c>
    </row>
    <row r="50" spans="1:35" x14ac:dyDescent="0.35">
      <c r="A50">
        <v>120</v>
      </c>
      <c r="B50" s="17">
        <v>45624</v>
      </c>
      <c r="C50" t="s">
        <v>74</v>
      </c>
      <c r="D50" t="s">
        <v>75</v>
      </c>
      <c r="E50" t="s">
        <v>84</v>
      </c>
      <c r="F50" t="s">
        <v>16</v>
      </c>
      <c r="G50" t="s">
        <v>75</v>
      </c>
      <c r="H50" t="s">
        <v>83</v>
      </c>
      <c r="I50">
        <v>0</v>
      </c>
      <c r="J50">
        <v>0</v>
      </c>
      <c r="K50" t="s">
        <v>20</v>
      </c>
      <c r="L50" t="s">
        <v>83</v>
      </c>
      <c r="M50" t="s">
        <v>24</v>
      </c>
      <c r="N50">
        <v>40</v>
      </c>
      <c r="O50" s="18">
        <v>1176</v>
      </c>
      <c r="P50" s="18">
        <v>2200</v>
      </c>
      <c r="Q50" s="18">
        <v>55</v>
      </c>
      <c r="R50">
        <v>64680</v>
      </c>
      <c r="S50">
        <v>1</v>
      </c>
      <c r="T50">
        <v>0</v>
      </c>
      <c r="U50" t="s">
        <v>75</v>
      </c>
      <c r="V50" t="s">
        <v>75</v>
      </c>
      <c r="W50" t="s">
        <v>77</v>
      </c>
      <c r="X50" t="s">
        <v>83</v>
      </c>
      <c r="Y50" t="s">
        <v>24</v>
      </c>
      <c r="Z50" t="s">
        <v>17</v>
      </c>
      <c r="AA50" t="s">
        <v>17</v>
      </c>
      <c r="AB50">
        <v>0</v>
      </c>
      <c r="AC50">
        <v>0</v>
      </c>
      <c r="AD50">
        <v>0</v>
      </c>
      <c r="AE50">
        <v>0</v>
      </c>
      <c r="AF50" t="s">
        <v>75</v>
      </c>
      <c r="AG50" t="s">
        <v>75</v>
      </c>
      <c r="AH50" t="s">
        <v>75</v>
      </c>
      <c r="AI50" t="s">
        <v>75</v>
      </c>
    </row>
    <row r="51" spans="1:35" x14ac:dyDescent="0.35">
      <c r="A51">
        <v>125</v>
      </c>
      <c r="B51" s="17">
        <v>45630</v>
      </c>
      <c r="C51" t="s">
        <v>74</v>
      </c>
      <c r="D51" t="s">
        <v>75</v>
      </c>
      <c r="E51" t="s">
        <v>84</v>
      </c>
      <c r="F51" t="s">
        <v>16</v>
      </c>
      <c r="G51" t="s">
        <v>75</v>
      </c>
      <c r="H51" t="s">
        <v>82</v>
      </c>
      <c r="I51">
        <v>0</v>
      </c>
      <c r="J51">
        <v>0</v>
      </c>
      <c r="K51" t="s">
        <v>20</v>
      </c>
      <c r="L51" t="s">
        <v>82</v>
      </c>
      <c r="M51" t="s">
        <v>24</v>
      </c>
      <c r="N51">
        <v>65</v>
      </c>
      <c r="O51" s="18">
        <v>19669.824000000001</v>
      </c>
      <c r="P51" s="18">
        <v>2470</v>
      </c>
      <c r="Q51" s="18">
        <v>38</v>
      </c>
      <c r="R51">
        <v>747453.31200000003</v>
      </c>
      <c r="S51">
        <v>1</v>
      </c>
      <c r="T51">
        <v>0</v>
      </c>
      <c r="U51" t="s">
        <v>75</v>
      </c>
      <c r="V51" t="s">
        <v>75</v>
      </c>
      <c r="W51" t="s">
        <v>77</v>
      </c>
      <c r="X51" t="s">
        <v>95</v>
      </c>
      <c r="Y51" t="s">
        <v>24</v>
      </c>
      <c r="Z51" t="s">
        <v>17</v>
      </c>
      <c r="AA51" t="s">
        <v>81</v>
      </c>
      <c r="AB51">
        <v>5</v>
      </c>
      <c r="AC51">
        <v>50</v>
      </c>
      <c r="AD51">
        <v>0</v>
      </c>
      <c r="AE51">
        <v>0</v>
      </c>
      <c r="AF51" t="s">
        <v>74</v>
      </c>
      <c r="AG51" t="s">
        <v>113</v>
      </c>
      <c r="AH51" t="s">
        <v>75</v>
      </c>
      <c r="AI51" t="s">
        <v>75</v>
      </c>
    </row>
    <row r="52" spans="1:35" x14ac:dyDescent="0.35">
      <c r="A52">
        <v>127</v>
      </c>
      <c r="B52" s="17">
        <v>45631</v>
      </c>
      <c r="C52" t="s">
        <v>74</v>
      </c>
      <c r="D52" t="s">
        <v>75</v>
      </c>
      <c r="E52" t="s">
        <v>84</v>
      </c>
      <c r="F52" t="s">
        <v>16</v>
      </c>
      <c r="G52" t="s">
        <v>75</v>
      </c>
      <c r="H52" t="s">
        <v>82</v>
      </c>
      <c r="I52">
        <v>0</v>
      </c>
      <c r="J52">
        <v>0</v>
      </c>
      <c r="K52" t="s">
        <v>20</v>
      </c>
      <c r="L52" t="s">
        <v>82</v>
      </c>
      <c r="M52" t="s">
        <v>24</v>
      </c>
      <c r="N52">
        <v>55</v>
      </c>
      <c r="O52" s="18">
        <v>19669.824000000001</v>
      </c>
      <c r="P52" s="18">
        <v>2090</v>
      </c>
      <c r="Q52" s="18">
        <v>38</v>
      </c>
      <c r="R52">
        <v>747453.31200000003</v>
      </c>
      <c r="S52">
        <v>1</v>
      </c>
      <c r="T52">
        <v>0</v>
      </c>
      <c r="U52" t="s">
        <v>75</v>
      </c>
      <c r="V52" t="s">
        <v>75</v>
      </c>
      <c r="W52" t="s">
        <v>77</v>
      </c>
      <c r="X52" t="s">
        <v>95</v>
      </c>
      <c r="Y52" t="s">
        <v>24</v>
      </c>
      <c r="Z52" t="s">
        <v>17</v>
      </c>
      <c r="AA52" t="s">
        <v>81</v>
      </c>
      <c r="AB52">
        <v>5</v>
      </c>
      <c r="AC52">
        <v>50</v>
      </c>
      <c r="AD52">
        <v>0</v>
      </c>
      <c r="AE52">
        <v>0</v>
      </c>
      <c r="AF52" t="s">
        <v>74</v>
      </c>
      <c r="AG52" t="s">
        <v>114</v>
      </c>
      <c r="AH52" t="s">
        <v>75</v>
      </c>
      <c r="AI52" t="s">
        <v>75</v>
      </c>
    </row>
    <row r="53" spans="1:35" x14ac:dyDescent="0.35">
      <c r="A53">
        <v>134</v>
      </c>
      <c r="B53" s="17">
        <v>45666</v>
      </c>
      <c r="C53" t="s">
        <v>74</v>
      </c>
      <c r="D53" t="s">
        <v>75</v>
      </c>
      <c r="E53" t="s">
        <v>84</v>
      </c>
      <c r="F53" t="s">
        <v>16</v>
      </c>
      <c r="G53" t="s">
        <v>75</v>
      </c>
      <c r="H53" t="s">
        <v>82</v>
      </c>
      <c r="I53">
        <v>0</v>
      </c>
      <c r="J53">
        <v>0</v>
      </c>
      <c r="K53" t="s">
        <v>20</v>
      </c>
      <c r="L53" t="s">
        <v>82</v>
      </c>
      <c r="M53" t="s">
        <v>24</v>
      </c>
      <c r="N53">
        <v>80</v>
      </c>
      <c r="O53" s="18">
        <v>19669.824000000001</v>
      </c>
      <c r="P53" s="18">
        <v>3040</v>
      </c>
      <c r="Q53" s="18">
        <v>38</v>
      </c>
      <c r="R53">
        <v>747453.31200000003</v>
      </c>
      <c r="S53">
        <v>1</v>
      </c>
      <c r="T53">
        <v>85</v>
      </c>
      <c r="U53" t="s">
        <v>75</v>
      </c>
      <c r="V53" t="s">
        <v>75</v>
      </c>
      <c r="W53" t="s">
        <v>77</v>
      </c>
      <c r="X53" t="s">
        <v>95</v>
      </c>
      <c r="Y53" t="s">
        <v>24</v>
      </c>
      <c r="Z53" t="s">
        <v>17</v>
      </c>
      <c r="AA53" t="s">
        <v>99</v>
      </c>
      <c r="AB53">
        <v>0</v>
      </c>
      <c r="AC53">
        <v>0</v>
      </c>
      <c r="AD53">
        <v>0</v>
      </c>
      <c r="AE53">
        <v>0</v>
      </c>
      <c r="AF53" t="s">
        <v>74</v>
      </c>
      <c r="AG53" t="s">
        <v>115</v>
      </c>
      <c r="AH53" t="s">
        <v>75</v>
      </c>
      <c r="AI53" t="s">
        <v>75</v>
      </c>
    </row>
    <row r="54" spans="1:35" x14ac:dyDescent="0.35">
      <c r="A54">
        <v>135</v>
      </c>
      <c r="B54" s="17">
        <v>45666</v>
      </c>
      <c r="C54" t="s">
        <v>87</v>
      </c>
      <c r="D54" t="s">
        <v>75</v>
      </c>
      <c r="E54" t="s">
        <v>20</v>
      </c>
      <c r="F54" t="s">
        <v>16</v>
      </c>
      <c r="G54" t="s">
        <v>75</v>
      </c>
      <c r="H54" t="s">
        <v>76</v>
      </c>
      <c r="I54">
        <v>0</v>
      </c>
      <c r="J54">
        <v>0</v>
      </c>
      <c r="K54" t="s">
        <v>20</v>
      </c>
      <c r="L54" t="s">
        <v>76</v>
      </c>
      <c r="M54" t="s">
        <v>21</v>
      </c>
      <c r="N54">
        <v>10</v>
      </c>
      <c r="O54" s="18">
        <v>192</v>
      </c>
      <c r="P54" s="18">
        <v>1650</v>
      </c>
      <c r="Q54" s="18">
        <v>165</v>
      </c>
      <c r="R54">
        <v>31680</v>
      </c>
      <c r="S54">
        <v>1</v>
      </c>
      <c r="T54">
        <v>0</v>
      </c>
      <c r="U54" t="s">
        <v>75</v>
      </c>
      <c r="V54" t="s">
        <v>75</v>
      </c>
      <c r="W54" t="s">
        <v>77</v>
      </c>
      <c r="X54" t="s">
        <v>97</v>
      </c>
      <c r="Y54" t="s">
        <v>21</v>
      </c>
      <c r="Z54" t="s">
        <v>17</v>
      </c>
      <c r="AA54" t="s">
        <v>17</v>
      </c>
      <c r="AB54">
        <v>0</v>
      </c>
      <c r="AC54">
        <v>0</v>
      </c>
      <c r="AD54">
        <v>0</v>
      </c>
      <c r="AE54">
        <v>0</v>
      </c>
      <c r="AF54" t="s">
        <v>75</v>
      </c>
      <c r="AG54" t="s">
        <v>75</v>
      </c>
      <c r="AH54" t="s">
        <v>75</v>
      </c>
      <c r="AI54" t="s">
        <v>75</v>
      </c>
    </row>
    <row r="55" spans="1:35" x14ac:dyDescent="0.35">
      <c r="A55">
        <v>140</v>
      </c>
      <c r="B55" s="17">
        <v>45679</v>
      </c>
      <c r="C55" t="s">
        <v>74</v>
      </c>
      <c r="D55" t="s">
        <v>75</v>
      </c>
      <c r="E55" t="s">
        <v>84</v>
      </c>
      <c r="F55" t="s">
        <v>16</v>
      </c>
      <c r="G55" t="s">
        <v>75</v>
      </c>
      <c r="H55" t="s">
        <v>76</v>
      </c>
      <c r="I55">
        <v>0</v>
      </c>
      <c r="J55">
        <v>0</v>
      </c>
      <c r="K55" t="s">
        <v>20</v>
      </c>
      <c r="L55" t="s">
        <v>76</v>
      </c>
      <c r="M55" t="s">
        <v>21</v>
      </c>
      <c r="N55">
        <v>4</v>
      </c>
      <c r="O55" s="18">
        <v>192</v>
      </c>
      <c r="P55" s="18">
        <v>660</v>
      </c>
      <c r="Q55" s="18">
        <v>165</v>
      </c>
      <c r="R55">
        <v>31680</v>
      </c>
      <c r="S55">
        <v>1</v>
      </c>
      <c r="T55">
        <v>0</v>
      </c>
      <c r="U55" t="s">
        <v>75</v>
      </c>
      <c r="V55" t="s">
        <v>75</v>
      </c>
      <c r="W55" t="s">
        <v>77</v>
      </c>
      <c r="X55" t="s">
        <v>97</v>
      </c>
      <c r="Y55" t="s">
        <v>21</v>
      </c>
      <c r="Z55" t="s">
        <v>17</v>
      </c>
      <c r="AA55" t="s">
        <v>81</v>
      </c>
      <c r="AB55">
        <v>3</v>
      </c>
      <c r="AC55">
        <v>30</v>
      </c>
      <c r="AD55">
        <v>0</v>
      </c>
      <c r="AE55">
        <v>0</v>
      </c>
      <c r="AF55" t="s">
        <v>75</v>
      </c>
      <c r="AG55" t="s">
        <v>116</v>
      </c>
      <c r="AH55" t="s">
        <v>75</v>
      </c>
      <c r="AI55" t="s">
        <v>75</v>
      </c>
    </row>
    <row r="56" spans="1:35" x14ac:dyDescent="0.35">
      <c r="A56">
        <v>142</v>
      </c>
      <c r="B56" s="17">
        <v>45679</v>
      </c>
      <c r="C56" t="s">
        <v>74</v>
      </c>
      <c r="D56" t="s">
        <v>75</v>
      </c>
      <c r="E56" t="s">
        <v>84</v>
      </c>
      <c r="F56" t="s">
        <v>16</v>
      </c>
      <c r="G56" t="s">
        <v>75</v>
      </c>
      <c r="H56" t="s">
        <v>82</v>
      </c>
      <c r="I56">
        <v>0</v>
      </c>
      <c r="J56">
        <v>0</v>
      </c>
      <c r="K56" t="s">
        <v>20</v>
      </c>
      <c r="L56" t="s">
        <v>82</v>
      </c>
      <c r="M56" t="s">
        <v>24</v>
      </c>
      <c r="N56">
        <v>100</v>
      </c>
      <c r="O56" s="18">
        <v>19669.824000000001</v>
      </c>
      <c r="P56" s="18">
        <v>3800</v>
      </c>
      <c r="Q56" s="18">
        <v>38</v>
      </c>
      <c r="R56">
        <v>747453.31200000003</v>
      </c>
      <c r="S56">
        <v>1</v>
      </c>
      <c r="T56">
        <v>0</v>
      </c>
      <c r="U56" t="s">
        <v>75</v>
      </c>
      <c r="V56" t="s">
        <v>75</v>
      </c>
      <c r="W56" t="s">
        <v>77</v>
      </c>
      <c r="X56" t="s">
        <v>95</v>
      </c>
      <c r="Y56" t="s">
        <v>24</v>
      </c>
      <c r="Z56" t="s">
        <v>17</v>
      </c>
      <c r="AA56" t="s">
        <v>17</v>
      </c>
      <c r="AB56">
        <v>2</v>
      </c>
      <c r="AC56">
        <v>20</v>
      </c>
      <c r="AD56">
        <v>0</v>
      </c>
      <c r="AE56">
        <v>0</v>
      </c>
      <c r="AF56" t="s">
        <v>75</v>
      </c>
      <c r="AG56" t="s">
        <v>75</v>
      </c>
      <c r="AH56" t="s">
        <v>75</v>
      </c>
      <c r="AI56" t="s">
        <v>75</v>
      </c>
    </row>
    <row r="57" spans="1:35" x14ac:dyDescent="0.35">
      <c r="A57">
        <v>145</v>
      </c>
      <c r="B57" s="17">
        <v>45686</v>
      </c>
      <c r="C57" t="s">
        <v>74</v>
      </c>
      <c r="D57" t="s">
        <v>75</v>
      </c>
      <c r="E57" t="s">
        <v>84</v>
      </c>
      <c r="F57" t="s">
        <v>16</v>
      </c>
      <c r="G57" t="s">
        <v>75</v>
      </c>
      <c r="H57" t="s">
        <v>76</v>
      </c>
      <c r="I57">
        <v>0</v>
      </c>
      <c r="J57">
        <v>0</v>
      </c>
      <c r="K57" t="s">
        <v>20</v>
      </c>
      <c r="L57" t="s">
        <v>76</v>
      </c>
      <c r="M57" t="s">
        <v>21</v>
      </c>
      <c r="N57">
        <v>4</v>
      </c>
      <c r="O57" s="18">
        <v>192</v>
      </c>
      <c r="P57" s="18">
        <v>660</v>
      </c>
      <c r="Q57" s="18">
        <v>165</v>
      </c>
      <c r="R57">
        <v>31680</v>
      </c>
      <c r="S57">
        <v>1</v>
      </c>
      <c r="T57">
        <v>0</v>
      </c>
      <c r="U57" t="s">
        <v>75</v>
      </c>
      <c r="V57" t="s">
        <v>75</v>
      </c>
      <c r="W57" t="s">
        <v>77</v>
      </c>
      <c r="X57" t="s">
        <v>97</v>
      </c>
      <c r="Y57" t="s">
        <v>21</v>
      </c>
      <c r="Z57" t="s">
        <v>17</v>
      </c>
      <c r="AA57" t="s">
        <v>81</v>
      </c>
      <c r="AB57">
        <v>2</v>
      </c>
      <c r="AC57">
        <v>20</v>
      </c>
      <c r="AD57">
        <v>0</v>
      </c>
      <c r="AE57">
        <v>0</v>
      </c>
      <c r="AF57" t="s">
        <v>75</v>
      </c>
      <c r="AG57" t="s">
        <v>117</v>
      </c>
      <c r="AH57" t="s">
        <v>75</v>
      </c>
      <c r="AI57" t="s">
        <v>75</v>
      </c>
    </row>
    <row r="58" spans="1:35" x14ac:dyDescent="0.35">
      <c r="A58">
        <v>147</v>
      </c>
      <c r="B58" s="17">
        <v>45686</v>
      </c>
      <c r="C58" t="s">
        <v>74</v>
      </c>
      <c r="D58" t="s">
        <v>75</v>
      </c>
      <c r="E58" t="s">
        <v>84</v>
      </c>
      <c r="F58" t="s">
        <v>16</v>
      </c>
      <c r="G58" t="s">
        <v>75</v>
      </c>
      <c r="H58" t="s">
        <v>79</v>
      </c>
      <c r="I58">
        <v>0</v>
      </c>
      <c r="J58">
        <v>0</v>
      </c>
      <c r="K58" t="s">
        <v>20</v>
      </c>
      <c r="L58" t="s">
        <v>79</v>
      </c>
      <c r="M58" t="s">
        <v>21</v>
      </c>
      <c r="N58">
        <v>6</v>
      </c>
      <c r="O58" s="18">
        <v>54</v>
      </c>
      <c r="P58" s="18">
        <v>1800</v>
      </c>
      <c r="Q58" s="18">
        <v>300</v>
      </c>
      <c r="R58">
        <v>16200</v>
      </c>
      <c r="S58">
        <v>1</v>
      </c>
      <c r="T58">
        <v>0</v>
      </c>
      <c r="U58" t="s">
        <v>75</v>
      </c>
      <c r="V58" t="s">
        <v>75</v>
      </c>
      <c r="W58" t="s">
        <v>77</v>
      </c>
      <c r="X58" t="s">
        <v>98</v>
      </c>
      <c r="Y58" t="s">
        <v>21</v>
      </c>
      <c r="Z58" t="s">
        <v>17</v>
      </c>
      <c r="AA58" t="s">
        <v>17</v>
      </c>
      <c r="AB58">
        <v>0</v>
      </c>
      <c r="AC58">
        <v>0</v>
      </c>
      <c r="AD58">
        <v>0</v>
      </c>
      <c r="AE58">
        <v>0</v>
      </c>
      <c r="AF58" t="s">
        <v>75</v>
      </c>
      <c r="AG58" t="s">
        <v>75</v>
      </c>
      <c r="AH58" t="s">
        <v>75</v>
      </c>
      <c r="AI58" t="s">
        <v>75</v>
      </c>
    </row>
    <row r="59" spans="1:35" x14ac:dyDescent="0.35">
      <c r="A59">
        <v>147</v>
      </c>
      <c r="B59" s="17">
        <v>45686</v>
      </c>
      <c r="C59" t="s">
        <v>74</v>
      </c>
      <c r="D59" t="s">
        <v>75</v>
      </c>
      <c r="E59" t="s">
        <v>84</v>
      </c>
      <c r="F59" t="s">
        <v>16</v>
      </c>
      <c r="G59" t="s">
        <v>75</v>
      </c>
      <c r="H59" t="s">
        <v>82</v>
      </c>
      <c r="I59">
        <v>0</v>
      </c>
      <c r="J59">
        <v>0</v>
      </c>
      <c r="K59" t="s">
        <v>20</v>
      </c>
      <c r="L59" t="s">
        <v>82</v>
      </c>
      <c r="M59" t="s">
        <v>24</v>
      </c>
      <c r="N59">
        <v>100</v>
      </c>
      <c r="O59" s="18">
        <v>19669.824000000001</v>
      </c>
      <c r="P59" s="18">
        <v>3800</v>
      </c>
      <c r="Q59" s="18">
        <v>38</v>
      </c>
      <c r="R59">
        <v>747453.31200000003</v>
      </c>
      <c r="S59">
        <v>1</v>
      </c>
      <c r="T59">
        <v>0</v>
      </c>
      <c r="U59" t="s">
        <v>75</v>
      </c>
      <c r="V59" t="s">
        <v>75</v>
      </c>
      <c r="W59" t="s">
        <v>77</v>
      </c>
      <c r="X59" t="s">
        <v>95</v>
      </c>
      <c r="Y59" t="s">
        <v>24</v>
      </c>
      <c r="Z59" t="s">
        <v>17</v>
      </c>
      <c r="AA59" t="s">
        <v>17</v>
      </c>
      <c r="AB59">
        <v>0</v>
      </c>
      <c r="AC59">
        <v>0</v>
      </c>
      <c r="AD59">
        <v>0</v>
      </c>
      <c r="AE59">
        <v>0</v>
      </c>
      <c r="AF59" t="s">
        <v>75</v>
      </c>
      <c r="AG59" t="s">
        <v>75</v>
      </c>
      <c r="AH59" t="s">
        <v>75</v>
      </c>
      <c r="AI59" t="s">
        <v>75</v>
      </c>
    </row>
    <row r="60" spans="1:35" x14ac:dyDescent="0.35">
      <c r="A60">
        <v>151</v>
      </c>
      <c r="B60" s="17">
        <v>45699</v>
      </c>
      <c r="C60" t="s">
        <v>74</v>
      </c>
      <c r="D60" t="s">
        <v>75</v>
      </c>
      <c r="E60" t="s">
        <v>84</v>
      </c>
      <c r="F60" t="s">
        <v>16</v>
      </c>
      <c r="G60" t="s">
        <v>75</v>
      </c>
      <c r="H60" t="s">
        <v>82</v>
      </c>
      <c r="I60">
        <v>0</v>
      </c>
      <c r="J60">
        <v>0</v>
      </c>
      <c r="K60" t="s">
        <v>20</v>
      </c>
      <c r="L60" t="s">
        <v>82</v>
      </c>
      <c r="M60" t="s">
        <v>24</v>
      </c>
      <c r="N60">
        <v>90</v>
      </c>
      <c r="O60" s="18">
        <v>19669.824000000001</v>
      </c>
      <c r="P60" s="18">
        <v>3420</v>
      </c>
      <c r="Q60" s="18">
        <v>38</v>
      </c>
      <c r="R60">
        <v>747453.31200000003</v>
      </c>
      <c r="S60">
        <v>1</v>
      </c>
      <c r="T60">
        <v>0</v>
      </c>
      <c r="U60" t="s">
        <v>75</v>
      </c>
      <c r="V60" t="s">
        <v>75</v>
      </c>
      <c r="W60" t="s">
        <v>77</v>
      </c>
      <c r="X60" t="s">
        <v>95</v>
      </c>
      <c r="Y60" t="s">
        <v>24</v>
      </c>
      <c r="Z60" t="s">
        <v>17</v>
      </c>
      <c r="AA60" t="s">
        <v>81</v>
      </c>
      <c r="AB60">
        <v>0</v>
      </c>
      <c r="AC60">
        <v>0</v>
      </c>
      <c r="AD60">
        <v>0</v>
      </c>
      <c r="AE60">
        <v>0</v>
      </c>
      <c r="AF60" t="s">
        <v>74</v>
      </c>
      <c r="AG60" t="s">
        <v>75</v>
      </c>
      <c r="AH60" t="s">
        <v>75</v>
      </c>
      <c r="AI60" t="s">
        <v>75</v>
      </c>
    </row>
    <row r="61" spans="1:35" x14ac:dyDescent="0.35">
      <c r="A61">
        <v>152</v>
      </c>
      <c r="B61" s="17">
        <v>45706</v>
      </c>
      <c r="C61" t="s">
        <v>74</v>
      </c>
      <c r="D61" t="s">
        <v>75</v>
      </c>
      <c r="E61" t="s">
        <v>84</v>
      </c>
      <c r="F61" t="s">
        <v>16</v>
      </c>
      <c r="G61" t="s">
        <v>75</v>
      </c>
      <c r="H61" t="s">
        <v>76</v>
      </c>
      <c r="I61">
        <v>0</v>
      </c>
      <c r="J61">
        <v>0</v>
      </c>
      <c r="K61" t="s">
        <v>20</v>
      </c>
      <c r="L61" t="s">
        <v>76</v>
      </c>
      <c r="M61" t="s">
        <v>21</v>
      </c>
      <c r="N61">
        <v>5</v>
      </c>
      <c r="O61" s="18">
        <v>192</v>
      </c>
      <c r="P61" s="18">
        <v>825</v>
      </c>
      <c r="Q61" s="18">
        <v>165</v>
      </c>
      <c r="R61">
        <v>31680</v>
      </c>
      <c r="S61">
        <v>1</v>
      </c>
      <c r="T61">
        <v>0</v>
      </c>
      <c r="U61" t="s">
        <v>75</v>
      </c>
      <c r="V61" t="s">
        <v>75</v>
      </c>
      <c r="W61" t="s">
        <v>77</v>
      </c>
      <c r="X61" t="s">
        <v>97</v>
      </c>
      <c r="Y61" t="s">
        <v>21</v>
      </c>
      <c r="Z61" t="s">
        <v>17</v>
      </c>
      <c r="AA61" t="s">
        <v>81</v>
      </c>
      <c r="AB61">
        <v>4</v>
      </c>
      <c r="AC61">
        <v>40</v>
      </c>
      <c r="AD61">
        <v>0</v>
      </c>
      <c r="AE61">
        <v>0</v>
      </c>
      <c r="AF61" t="s">
        <v>74</v>
      </c>
      <c r="AG61" t="s">
        <v>118</v>
      </c>
      <c r="AH61" t="s">
        <v>75</v>
      </c>
      <c r="AI61" t="s">
        <v>75</v>
      </c>
    </row>
    <row r="62" spans="1:35" x14ac:dyDescent="0.35">
      <c r="A62">
        <v>154</v>
      </c>
      <c r="B62" s="17">
        <v>45819</v>
      </c>
      <c r="C62" s="19" t="s">
        <v>87</v>
      </c>
      <c r="D62" s="19" t="s">
        <v>75</v>
      </c>
      <c r="E62" s="19" t="s">
        <v>20</v>
      </c>
      <c r="F62" t="s">
        <v>16</v>
      </c>
      <c r="G62" t="s">
        <v>75</v>
      </c>
      <c r="H62" t="s">
        <v>76</v>
      </c>
      <c r="I62">
        <v>0</v>
      </c>
      <c r="J62">
        <v>0</v>
      </c>
      <c r="K62" t="s">
        <v>20</v>
      </c>
      <c r="L62" t="s">
        <v>76</v>
      </c>
      <c r="M62" t="s">
        <v>21</v>
      </c>
      <c r="N62">
        <v>22</v>
      </c>
      <c r="O62" s="18">
        <v>192</v>
      </c>
      <c r="P62" s="18">
        <v>3630</v>
      </c>
      <c r="Q62" s="18">
        <v>165</v>
      </c>
      <c r="R62">
        <v>31680</v>
      </c>
      <c r="S62">
        <v>1</v>
      </c>
      <c r="T62">
        <v>0</v>
      </c>
      <c r="U62" t="s">
        <v>75</v>
      </c>
      <c r="V62" t="s">
        <v>75</v>
      </c>
      <c r="W62" t="s">
        <v>77</v>
      </c>
      <c r="X62" t="s">
        <v>97</v>
      </c>
      <c r="Y62" t="s">
        <v>21</v>
      </c>
      <c r="Z62" t="s">
        <v>17</v>
      </c>
      <c r="AA62" t="s">
        <v>17</v>
      </c>
      <c r="AB62">
        <v>0</v>
      </c>
      <c r="AC62">
        <v>0</v>
      </c>
      <c r="AD62">
        <v>0</v>
      </c>
      <c r="AE62">
        <v>0</v>
      </c>
      <c r="AF62" t="s">
        <v>87</v>
      </c>
      <c r="AG62" t="s">
        <v>75</v>
      </c>
      <c r="AH62" t="s">
        <v>75</v>
      </c>
      <c r="AI62" t="s">
        <v>75</v>
      </c>
    </row>
    <row r="63" spans="1:35" x14ac:dyDescent="0.35">
      <c r="A63">
        <v>154</v>
      </c>
      <c r="B63" s="17">
        <v>45819</v>
      </c>
      <c r="C63" s="19" t="s">
        <v>87</v>
      </c>
      <c r="D63" s="19" t="s">
        <v>75</v>
      </c>
      <c r="E63" s="19" t="s">
        <v>20</v>
      </c>
      <c r="F63" t="s">
        <v>16</v>
      </c>
      <c r="G63" t="s">
        <v>75</v>
      </c>
      <c r="H63" t="s">
        <v>79</v>
      </c>
      <c r="I63">
        <v>0</v>
      </c>
      <c r="J63">
        <v>0</v>
      </c>
      <c r="K63" t="s">
        <v>20</v>
      </c>
      <c r="L63" t="s">
        <v>79</v>
      </c>
      <c r="M63" t="s">
        <v>21</v>
      </c>
      <c r="N63">
        <v>34</v>
      </c>
      <c r="O63" s="18">
        <v>54</v>
      </c>
      <c r="P63" s="18">
        <v>10200</v>
      </c>
      <c r="Q63" s="18">
        <v>300</v>
      </c>
      <c r="R63">
        <v>16200</v>
      </c>
      <c r="S63">
        <v>1</v>
      </c>
      <c r="T63">
        <v>0</v>
      </c>
      <c r="U63" t="s">
        <v>75</v>
      </c>
      <c r="V63" t="s">
        <v>75</v>
      </c>
      <c r="W63" t="s">
        <v>77</v>
      </c>
      <c r="X63" t="s">
        <v>98</v>
      </c>
      <c r="Y63" t="s">
        <v>21</v>
      </c>
      <c r="Z63" t="s">
        <v>17</v>
      </c>
      <c r="AA63" t="s">
        <v>17</v>
      </c>
      <c r="AB63">
        <v>0</v>
      </c>
      <c r="AC63">
        <v>0</v>
      </c>
      <c r="AD63">
        <v>0</v>
      </c>
      <c r="AE63">
        <v>0</v>
      </c>
      <c r="AF63" t="s">
        <v>87</v>
      </c>
      <c r="AG63" t="s">
        <v>75</v>
      </c>
      <c r="AH63" t="s">
        <v>75</v>
      </c>
      <c r="AI63" t="s">
        <v>75</v>
      </c>
    </row>
    <row r="64" spans="1:35" x14ac:dyDescent="0.35">
      <c r="A64">
        <v>154</v>
      </c>
      <c r="B64" s="17">
        <v>45819</v>
      </c>
      <c r="C64" s="19" t="s">
        <v>87</v>
      </c>
      <c r="D64" s="19" t="s">
        <v>75</v>
      </c>
      <c r="E64" s="19" t="s">
        <v>20</v>
      </c>
      <c r="F64" t="s">
        <v>16</v>
      </c>
      <c r="G64" t="s">
        <v>75</v>
      </c>
      <c r="H64" t="s">
        <v>82</v>
      </c>
      <c r="I64">
        <v>0</v>
      </c>
      <c r="J64">
        <v>0</v>
      </c>
      <c r="K64" t="s">
        <v>20</v>
      </c>
      <c r="L64" t="s">
        <v>82</v>
      </c>
      <c r="M64" t="s">
        <v>24</v>
      </c>
      <c r="N64">
        <v>44</v>
      </c>
      <c r="O64" s="18">
        <v>19669.824000000001</v>
      </c>
      <c r="P64" s="18">
        <v>1672</v>
      </c>
      <c r="Q64" s="18">
        <v>38</v>
      </c>
      <c r="R64">
        <v>747453.31200000003</v>
      </c>
      <c r="S64">
        <v>1</v>
      </c>
      <c r="T64">
        <v>0</v>
      </c>
      <c r="U64" t="s">
        <v>75</v>
      </c>
      <c r="V64" t="s">
        <v>75</v>
      </c>
      <c r="W64" t="s">
        <v>77</v>
      </c>
      <c r="X64" t="s">
        <v>95</v>
      </c>
      <c r="Y64" t="s">
        <v>24</v>
      </c>
      <c r="Z64" t="s">
        <v>17</v>
      </c>
      <c r="AA64" t="s">
        <v>17</v>
      </c>
      <c r="AB64">
        <v>0</v>
      </c>
      <c r="AC64">
        <v>0</v>
      </c>
      <c r="AD64">
        <v>0</v>
      </c>
      <c r="AE64">
        <v>0</v>
      </c>
      <c r="AF64" t="s">
        <v>87</v>
      </c>
      <c r="AG64" t="s">
        <v>75</v>
      </c>
      <c r="AH64" t="s">
        <v>75</v>
      </c>
      <c r="AI64" t="s">
        <v>75</v>
      </c>
    </row>
    <row r="65" spans="1:35" x14ac:dyDescent="0.35">
      <c r="A65">
        <v>157</v>
      </c>
      <c r="B65" s="17">
        <v>45819</v>
      </c>
      <c r="C65" s="19" t="s">
        <v>87</v>
      </c>
      <c r="D65" s="19" t="s">
        <v>75</v>
      </c>
      <c r="E65" s="19" t="s">
        <v>20</v>
      </c>
      <c r="F65" t="s">
        <v>16</v>
      </c>
      <c r="G65" t="s">
        <v>75</v>
      </c>
      <c r="H65" t="s">
        <v>88</v>
      </c>
      <c r="I65">
        <v>0</v>
      </c>
      <c r="J65">
        <v>0</v>
      </c>
      <c r="K65" t="s">
        <v>20</v>
      </c>
      <c r="L65" t="s">
        <v>88</v>
      </c>
      <c r="M65" t="s">
        <v>21</v>
      </c>
      <c r="N65">
        <v>4</v>
      </c>
      <c r="O65" s="18">
        <v>14</v>
      </c>
      <c r="P65" s="18">
        <v>7504</v>
      </c>
      <c r="Q65" s="18">
        <v>1876</v>
      </c>
      <c r="R65">
        <v>26264</v>
      </c>
      <c r="S65">
        <v>1</v>
      </c>
      <c r="T65">
        <v>0</v>
      </c>
      <c r="U65" t="s">
        <v>75</v>
      </c>
      <c r="V65" t="s">
        <v>75</v>
      </c>
      <c r="W65" t="s">
        <v>77</v>
      </c>
      <c r="X65" t="s">
        <v>109</v>
      </c>
      <c r="Y65" t="s">
        <v>21</v>
      </c>
      <c r="Z65" t="s">
        <v>17</v>
      </c>
      <c r="AA65" t="s">
        <v>17</v>
      </c>
      <c r="AB65">
        <v>0</v>
      </c>
      <c r="AC65">
        <v>0</v>
      </c>
      <c r="AD65">
        <v>0</v>
      </c>
      <c r="AE65">
        <v>0</v>
      </c>
      <c r="AF65" t="s">
        <v>87</v>
      </c>
      <c r="AG65" t="s">
        <v>75</v>
      </c>
      <c r="AH65" t="s">
        <v>75</v>
      </c>
      <c r="AI65" t="s">
        <v>75</v>
      </c>
    </row>
    <row r="66" spans="1:35" x14ac:dyDescent="0.35">
      <c r="A66">
        <v>157</v>
      </c>
      <c r="B66" s="17">
        <v>45819</v>
      </c>
      <c r="C66" s="19" t="s">
        <v>87</v>
      </c>
      <c r="D66" s="19" t="s">
        <v>75</v>
      </c>
      <c r="E66" s="19" t="s">
        <v>20</v>
      </c>
      <c r="F66" t="s">
        <v>16</v>
      </c>
      <c r="G66" t="s">
        <v>75</v>
      </c>
      <c r="H66" t="s">
        <v>76</v>
      </c>
      <c r="I66">
        <v>0</v>
      </c>
      <c r="J66">
        <v>0</v>
      </c>
      <c r="K66" t="s">
        <v>20</v>
      </c>
      <c r="L66" t="s">
        <v>76</v>
      </c>
      <c r="M66" t="s">
        <v>21</v>
      </c>
      <c r="N66">
        <v>7</v>
      </c>
      <c r="O66" s="18">
        <v>192</v>
      </c>
      <c r="P66" s="18">
        <v>1155</v>
      </c>
      <c r="Q66" s="18">
        <v>165</v>
      </c>
      <c r="R66">
        <v>31680</v>
      </c>
      <c r="S66">
        <v>1</v>
      </c>
      <c r="T66">
        <v>0</v>
      </c>
      <c r="U66" t="s">
        <v>75</v>
      </c>
      <c r="V66" t="s">
        <v>75</v>
      </c>
      <c r="W66" t="s">
        <v>77</v>
      </c>
      <c r="X66" t="s">
        <v>97</v>
      </c>
      <c r="Y66" t="s">
        <v>21</v>
      </c>
      <c r="Z66" t="s">
        <v>17</v>
      </c>
      <c r="AA66" t="s">
        <v>17</v>
      </c>
      <c r="AB66">
        <v>0</v>
      </c>
      <c r="AC66">
        <v>0</v>
      </c>
      <c r="AD66">
        <v>0</v>
      </c>
      <c r="AE66">
        <v>0</v>
      </c>
      <c r="AF66" t="s">
        <v>87</v>
      </c>
      <c r="AG66" t="s">
        <v>75</v>
      </c>
      <c r="AH66" t="s">
        <v>75</v>
      </c>
      <c r="AI66" t="s">
        <v>75</v>
      </c>
    </row>
    <row r="67" spans="1:35" x14ac:dyDescent="0.35">
      <c r="A67">
        <v>160</v>
      </c>
      <c r="B67" s="17">
        <v>45824</v>
      </c>
      <c r="C67" s="19" t="s">
        <v>87</v>
      </c>
      <c r="D67" s="19" t="s">
        <v>75</v>
      </c>
      <c r="E67" s="19" t="s">
        <v>20</v>
      </c>
      <c r="F67" t="s">
        <v>16</v>
      </c>
      <c r="G67" t="s">
        <v>75</v>
      </c>
      <c r="H67" t="s">
        <v>82</v>
      </c>
      <c r="I67">
        <v>0</v>
      </c>
      <c r="J67">
        <v>0</v>
      </c>
      <c r="K67" t="s">
        <v>20</v>
      </c>
      <c r="L67" t="s">
        <v>82</v>
      </c>
      <c r="M67" t="s">
        <v>24</v>
      </c>
      <c r="N67">
        <v>135</v>
      </c>
      <c r="O67" s="18">
        <v>19669.824000000001</v>
      </c>
      <c r="P67" s="18">
        <v>5130</v>
      </c>
      <c r="Q67" s="18">
        <v>38</v>
      </c>
      <c r="R67">
        <v>747453.31200000003</v>
      </c>
      <c r="S67">
        <v>1</v>
      </c>
      <c r="T67">
        <v>0</v>
      </c>
      <c r="U67" t="s">
        <v>75</v>
      </c>
      <c r="V67" t="s">
        <v>75</v>
      </c>
      <c r="W67" t="s">
        <v>77</v>
      </c>
      <c r="X67" t="s">
        <v>95</v>
      </c>
      <c r="Y67" t="s">
        <v>24</v>
      </c>
      <c r="Z67" t="s">
        <v>17</v>
      </c>
      <c r="AA67" t="s">
        <v>17</v>
      </c>
      <c r="AB67">
        <v>0</v>
      </c>
      <c r="AC67">
        <v>0</v>
      </c>
      <c r="AD67">
        <v>0</v>
      </c>
      <c r="AE67">
        <v>0</v>
      </c>
      <c r="AF67" t="s">
        <v>75</v>
      </c>
      <c r="AG67" t="s">
        <v>75</v>
      </c>
      <c r="AH67" t="s">
        <v>75</v>
      </c>
      <c r="AI67" t="s">
        <v>75</v>
      </c>
    </row>
    <row r="68" spans="1:35" x14ac:dyDescent="0.35">
      <c r="A68">
        <v>162</v>
      </c>
      <c r="B68" s="17">
        <v>45825</v>
      </c>
      <c r="C68" s="19" t="s">
        <v>87</v>
      </c>
      <c r="D68" s="19" t="s">
        <v>75</v>
      </c>
      <c r="E68" s="19" t="s">
        <v>20</v>
      </c>
      <c r="F68" t="s">
        <v>16</v>
      </c>
      <c r="G68" t="s">
        <v>75</v>
      </c>
      <c r="H68" t="s">
        <v>119</v>
      </c>
      <c r="I68">
        <v>0</v>
      </c>
      <c r="J68">
        <v>0</v>
      </c>
      <c r="K68" t="s">
        <v>20</v>
      </c>
      <c r="L68" t="s">
        <v>119</v>
      </c>
      <c r="M68" t="s">
        <v>24</v>
      </c>
      <c r="N68">
        <v>125</v>
      </c>
      <c r="O68" s="18">
        <v>4884</v>
      </c>
      <c r="P68" s="18">
        <v>5500</v>
      </c>
      <c r="Q68" s="18">
        <v>44</v>
      </c>
      <c r="R68">
        <v>214896</v>
      </c>
      <c r="S68">
        <v>1</v>
      </c>
      <c r="T68">
        <v>0</v>
      </c>
      <c r="U68" t="s">
        <v>75</v>
      </c>
      <c r="V68" t="s">
        <v>75</v>
      </c>
      <c r="W68" t="s">
        <v>77</v>
      </c>
      <c r="X68" t="s">
        <v>119</v>
      </c>
      <c r="Y68" t="s">
        <v>24</v>
      </c>
      <c r="Z68" t="s">
        <v>17</v>
      </c>
      <c r="AA68" t="s">
        <v>17</v>
      </c>
      <c r="AB68">
        <v>0</v>
      </c>
      <c r="AC68">
        <v>0</v>
      </c>
      <c r="AD68">
        <v>0</v>
      </c>
      <c r="AE68">
        <v>0</v>
      </c>
      <c r="AF68" t="s">
        <v>87</v>
      </c>
      <c r="AG68" t="s">
        <v>120</v>
      </c>
      <c r="AH68" t="s">
        <v>121</v>
      </c>
      <c r="AI68" t="s">
        <v>75</v>
      </c>
    </row>
    <row r="69" spans="1:35" x14ac:dyDescent="0.35">
      <c r="A69">
        <v>164</v>
      </c>
      <c r="B69" s="17">
        <v>45825</v>
      </c>
      <c r="C69" s="19" t="s">
        <v>87</v>
      </c>
      <c r="D69" s="19" t="s">
        <v>75</v>
      </c>
      <c r="E69" s="19" t="s">
        <v>20</v>
      </c>
      <c r="F69" t="s">
        <v>16</v>
      </c>
      <c r="G69" t="s">
        <v>75</v>
      </c>
      <c r="H69" t="s">
        <v>80</v>
      </c>
      <c r="I69">
        <v>0.15</v>
      </c>
      <c r="J69">
        <v>30</v>
      </c>
      <c r="K69" t="s">
        <v>20</v>
      </c>
      <c r="L69" t="s">
        <v>80</v>
      </c>
      <c r="M69" t="s">
        <v>24</v>
      </c>
      <c r="N69">
        <v>200</v>
      </c>
      <c r="O69" s="18">
        <v>19669.824000000001</v>
      </c>
      <c r="P69" s="18">
        <v>7600</v>
      </c>
      <c r="Q69" s="18">
        <v>38</v>
      </c>
      <c r="R69">
        <v>747453.31200000003</v>
      </c>
      <c r="S69">
        <v>1</v>
      </c>
      <c r="T69">
        <v>334</v>
      </c>
      <c r="U69" t="s">
        <v>75</v>
      </c>
      <c r="V69" t="s">
        <v>75</v>
      </c>
      <c r="W69" t="s">
        <v>77</v>
      </c>
      <c r="X69" t="s">
        <v>101</v>
      </c>
      <c r="Y69" t="s">
        <v>24</v>
      </c>
      <c r="Z69" t="s">
        <v>17</v>
      </c>
      <c r="AA69" t="s">
        <v>17</v>
      </c>
      <c r="AB69">
        <v>0</v>
      </c>
      <c r="AC69">
        <v>0</v>
      </c>
      <c r="AD69">
        <v>0</v>
      </c>
      <c r="AE69">
        <v>0</v>
      </c>
      <c r="AF69" t="s">
        <v>75</v>
      </c>
      <c r="AG69" t="s">
        <v>75</v>
      </c>
      <c r="AH69" t="s">
        <v>75</v>
      </c>
      <c r="AI69" t="s">
        <v>75</v>
      </c>
    </row>
    <row r="70" spans="1:35" x14ac:dyDescent="0.35">
      <c r="A70">
        <v>167</v>
      </c>
      <c r="B70" s="17">
        <v>45828</v>
      </c>
      <c r="C70" s="19" t="s">
        <v>87</v>
      </c>
      <c r="D70" s="19" t="s">
        <v>75</v>
      </c>
      <c r="E70" s="19" t="s">
        <v>20</v>
      </c>
      <c r="F70" t="s">
        <v>16</v>
      </c>
      <c r="G70" t="s">
        <v>75</v>
      </c>
      <c r="H70" t="s">
        <v>80</v>
      </c>
      <c r="I70">
        <v>0.15</v>
      </c>
      <c r="J70">
        <v>21.45</v>
      </c>
      <c r="K70" t="s">
        <v>20</v>
      </c>
      <c r="L70" t="s">
        <v>80</v>
      </c>
      <c r="M70" t="s">
        <v>24</v>
      </c>
      <c r="N70">
        <v>143</v>
      </c>
      <c r="O70" s="18">
        <v>19669.824000000001</v>
      </c>
      <c r="P70" s="18">
        <v>5434</v>
      </c>
      <c r="Q70" s="18">
        <v>38</v>
      </c>
      <c r="R70">
        <v>747453.31200000003</v>
      </c>
      <c r="S70">
        <v>1</v>
      </c>
      <c r="T70">
        <v>143</v>
      </c>
      <c r="U70" t="s">
        <v>75</v>
      </c>
      <c r="V70" t="s">
        <v>75</v>
      </c>
      <c r="W70" t="s">
        <v>77</v>
      </c>
      <c r="X70" t="s">
        <v>101</v>
      </c>
      <c r="Y70" t="s">
        <v>24</v>
      </c>
      <c r="Z70" t="s">
        <v>17</v>
      </c>
      <c r="AA70" t="s">
        <v>17</v>
      </c>
      <c r="AB70">
        <v>0</v>
      </c>
      <c r="AC70">
        <v>0</v>
      </c>
      <c r="AD70">
        <v>0</v>
      </c>
      <c r="AE70">
        <v>0</v>
      </c>
      <c r="AF70" t="s">
        <v>75</v>
      </c>
      <c r="AG70" t="s">
        <v>75</v>
      </c>
      <c r="AH70" t="s">
        <v>75</v>
      </c>
      <c r="AI70" t="s">
        <v>75</v>
      </c>
    </row>
    <row r="71" spans="1:35" x14ac:dyDescent="0.35">
      <c r="A71">
        <v>167</v>
      </c>
      <c r="B71" s="17">
        <v>45828</v>
      </c>
      <c r="C71" s="19" t="s">
        <v>87</v>
      </c>
      <c r="D71" s="19" t="s">
        <v>75</v>
      </c>
      <c r="E71" s="19" t="s">
        <v>20</v>
      </c>
      <c r="F71" t="s">
        <v>16</v>
      </c>
      <c r="G71" t="s">
        <v>75</v>
      </c>
      <c r="H71" t="s">
        <v>82</v>
      </c>
      <c r="I71">
        <v>0</v>
      </c>
      <c r="J71">
        <v>0</v>
      </c>
      <c r="K71" t="s">
        <v>20</v>
      </c>
      <c r="L71" t="s">
        <v>82</v>
      </c>
      <c r="M71" t="s">
        <v>24</v>
      </c>
      <c r="N71">
        <v>175</v>
      </c>
      <c r="O71" s="18">
        <v>19669.824000000001</v>
      </c>
      <c r="P71" s="18">
        <v>6650</v>
      </c>
      <c r="Q71" s="18">
        <v>38</v>
      </c>
      <c r="R71">
        <v>747453.31200000003</v>
      </c>
      <c r="S71">
        <v>1</v>
      </c>
      <c r="T71">
        <v>175</v>
      </c>
      <c r="U71" t="s">
        <v>75</v>
      </c>
      <c r="V71" t="s">
        <v>75</v>
      </c>
      <c r="W71" t="s">
        <v>77</v>
      </c>
      <c r="X71" t="s">
        <v>95</v>
      </c>
      <c r="Y71" t="s">
        <v>24</v>
      </c>
      <c r="Z71" t="s">
        <v>17</v>
      </c>
      <c r="AA71" t="s">
        <v>17</v>
      </c>
      <c r="AB71">
        <v>0</v>
      </c>
      <c r="AC71">
        <v>0</v>
      </c>
      <c r="AD71">
        <v>0</v>
      </c>
      <c r="AE71">
        <v>0</v>
      </c>
      <c r="AF71" t="s">
        <v>75</v>
      </c>
      <c r="AG71" t="s">
        <v>75</v>
      </c>
      <c r="AH71" t="s">
        <v>75</v>
      </c>
      <c r="AI71" t="s">
        <v>75</v>
      </c>
    </row>
    <row r="72" spans="1:35" x14ac:dyDescent="0.35">
      <c r="A72">
        <v>167</v>
      </c>
      <c r="B72" s="17">
        <v>45828</v>
      </c>
      <c r="C72" s="19" t="s">
        <v>87</v>
      </c>
      <c r="D72" s="19" t="s">
        <v>75</v>
      </c>
      <c r="E72" s="19" t="s">
        <v>20</v>
      </c>
      <c r="F72" t="s">
        <v>16</v>
      </c>
      <c r="G72" t="s">
        <v>75</v>
      </c>
      <c r="H72" t="s">
        <v>83</v>
      </c>
      <c r="I72">
        <v>0</v>
      </c>
      <c r="J72">
        <v>0</v>
      </c>
      <c r="K72" t="s">
        <v>20</v>
      </c>
      <c r="L72" t="s">
        <v>83</v>
      </c>
      <c r="M72" t="s">
        <v>24</v>
      </c>
      <c r="N72">
        <v>445</v>
      </c>
      <c r="O72" s="18">
        <v>1176</v>
      </c>
      <c r="P72" s="18">
        <v>24475</v>
      </c>
      <c r="Q72" s="18">
        <v>55</v>
      </c>
      <c r="R72">
        <v>64680</v>
      </c>
      <c r="S72">
        <v>1</v>
      </c>
      <c r="T72">
        <v>445</v>
      </c>
      <c r="U72" t="s">
        <v>75</v>
      </c>
      <c r="V72" t="s">
        <v>75</v>
      </c>
      <c r="W72" t="s">
        <v>77</v>
      </c>
      <c r="X72" t="s">
        <v>83</v>
      </c>
      <c r="Y72" t="s">
        <v>24</v>
      </c>
      <c r="Z72" t="s">
        <v>17</v>
      </c>
      <c r="AA72" t="s">
        <v>17</v>
      </c>
      <c r="AB72">
        <v>0</v>
      </c>
      <c r="AC72">
        <v>0</v>
      </c>
      <c r="AD72">
        <v>0</v>
      </c>
      <c r="AE72">
        <v>0</v>
      </c>
      <c r="AF72" t="s">
        <v>75</v>
      </c>
      <c r="AG72" t="s">
        <v>75</v>
      </c>
      <c r="AH72" t="s">
        <v>75</v>
      </c>
      <c r="AI72" t="s">
        <v>75</v>
      </c>
    </row>
    <row r="73" spans="1:35" x14ac:dyDescent="0.35">
      <c r="A73">
        <v>170</v>
      </c>
      <c r="B73" s="17">
        <v>45839</v>
      </c>
      <c r="C73" s="19" t="s">
        <v>87</v>
      </c>
      <c r="D73" s="19" t="s">
        <v>75</v>
      </c>
      <c r="E73" s="19" t="s">
        <v>20</v>
      </c>
      <c r="F73" t="s">
        <v>16</v>
      </c>
      <c r="G73" t="s">
        <v>75</v>
      </c>
      <c r="H73" t="s">
        <v>80</v>
      </c>
      <c r="I73">
        <v>0.15</v>
      </c>
      <c r="J73">
        <v>53.1</v>
      </c>
      <c r="K73" t="s">
        <v>20</v>
      </c>
      <c r="L73" t="s">
        <v>80</v>
      </c>
      <c r="M73" t="s">
        <v>24</v>
      </c>
      <c r="N73">
        <v>354</v>
      </c>
      <c r="O73" s="18">
        <v>19669.824000000001</v>
      </c>
      <c r="P73" s="18">
        <v>13452</v>
      </c>
      <c r="Q73" s="18">
        <v>38</v>
      </c>
      <c r="R73">
        <v>747453.31200000003</v>
      </c>
      <c r="S73">
        <v>1</v>
      </c>
      <c r="T73">
        <v>0</v>
      </c>
      <c r="U73" t="s">
        <v>75</v>
      </c>
      <c r="V73" t="s">
        <v>75</v>
      </c>
      <c r="W73" t="s">
        <v>77</v>
      </c>
      <c r="X73" t="s">
        <v>101</v>
      </c>
      <c r="Y73" t="s">
        <v>24</v>
      </c>
      <c r="Z73" t="s">
        <v>17</v>
      </c>
      <c r="AA73" t="s">
        <v>17</v>
      </c>
      <c r="AB73">
        <v>5</v>
      </c>
      <c r="AC73">
        <v>50</v>
      </c>
      <c r="AD73">
        <v>0</v>
      </c>
      <c r="AE73">
        <v>0</v>
      </c>
      <c r="AF73" t="s">
        <v>75</v>
      </c>
      <c r="AG73" t="s">
        <v>75</v>
      </c>
      <c r="AH73" t="s">
        <v>75</v>
      </c>
      <c r="AI73" t="s">
        <v>75</v>
      </c>
    </row>
    <row r="74" spans="1:35" x14ac:dyDescent="0.35">
      <c r="A74">
        <v>170</v>
      </c>
      <c r="B74" s="17">
        <v>45839</v>
      </c>
      <c r="C74" s="19" t="s">
        <v>87</v>
      </c>
      <c r="D74" s="19" t="s">
        <v>75</v>
      </c>
      <c r="E74" s="19" t="s">
        <v>20</v>
      </c>
      <c r="F74" t="s">
        <v>16</v>
      </c>
      <c r="G74" t="s">
        <v>75</v>
      </c>
      <c r="H74" t="s">
        <v>107</v>
      </c>
      <c r="I74">
        <v>0</v>
      </c>
      <c r="J74">
        <v>0</v>
      </c>
      <c r="K74" t="s">
        <v>20</v>
      </c>
      <c r="L74" t="s">
        <v>107</v>
      </c>
      <c r="M74" t="s">
        <v>21</v>
      </c>
      <c r="N74">
        <v>455</v>
      </c>
      <c r="O74" s="18">
        <v>1825</v>
      </c>
      <c r="P74" s="18">
        <v>207025</v>
      </c>
      <c r="Q74" s="18">
        <v>455</v>
      </c>
      <c r="R74">
        <v>830375</v>
      </c>
      <c r="S74">
        <v>1</v>
      </c>
      <c r="T74">
        <v>0</v>
      </c>
      <c r="U74" t="s">
        <v>75</v>
      </c>
      <c r="V74" t="s">
        <v>75</v>
      </c>
      <c r="W74" t="s">
        <v>77</v>
      </c>
      <c r="X74" t="s">
        <v>108</v>
      </c>
      <c r="Y74" t="s">
        <v>21</v>
      </c>
      <c r="Z74" t="s">
        <v>17</v>
      </c>
      <c r="AA74" t="s">
        <v>17</v>
      </c>
      <c r="AB74">
        <v>20</v>
      </c>
      <c r="AC74">
        <v>200</v>
      </c>
      <c r="AD74">
        <v>0</v>
      </c>
      <c r="AE74">
        <v>0</v>
      </c>
      <c r="AF74" t="s">
        <v>75</v>
      </c>
      <c r="AG74" t="s">
        <v>75</v>
      </c>
      <c r="AH74" t="s">
        <v>75</v>
      </c>
      <c r="AI74" t="s">
        <v>75</v>
      </c>
    </row>
    <row r="75" spans="1:35" x14ac:dyDescent="0.35">
      <c r="A75">
        <v>171</v>
      </c>
      <c r="B75" s="17">
        <v>45839</v>
      </c>
      <c r="C75" s="19" t="s">
        <v>87</v>
      </c>
      <c r="D75" s="19" t="s">
        <v>75</v>
      </c>
      <c r="E75" s="19" t="s">
        <v>20</v>
      </c>
      <c r="F75" t="s">
        <v>16</v>
      </c>
      <c r="G75" t="s">
        <v>75</v>
      </c>
      <c r="H75" t="s">
        <v>80</v>
      </c>
      <c r="I75">
        <v>0.15</v>
      </c>
      <c r="J75">
        <v>8.25</v>
      </c>
      <c r="K75" t="s">
        <v>20</v>
      </c>
      <c r="L75" t="s">
        <v>80</v>
      </c>
      <c r="M75" t="s">
        <v>24</v>
      </c>
      <c r="N75">
        <v>55</v>
      </c>
      <c r="O75" s="18">
        <v>19669.824000000001</v>
      </c>
      <c r="P75" s="18">
        <v>2090</v>
      </c>
      <c r="Q75" s="18">
        <v>38</v>
      </c>
      <c r="R75">
        <v>747453.31200000003</v>
      </c>
      <c r="S75">
        <v>1</v>
      </c>
      <c r="T75">
        <v>0</v>
      </c>
      <c r="U75" t="s">
        <v>75</v>
      </c>
      <c r="V75" t="s">
        <v>75</v>
      </c>
      <c r="W75" t="s">
        <v>77</v>
      </c>
      <c r="X75" t="s">
        <v>101</v>
      </c>
      <c r="Y75" t="s">
        <v>24</v>
      </c>
      <c r="Z75" t="s">
        <v>17</v>
      </c>
      <c r="AA75" t="s">
        <v>17</v>
      </c>
      <c r="AB75">
        <v>1</v>
      </c>
      <c r="AC75">
        <v>10</v>
      </c>
      <c r="AD75">
        <v>0</v>
      </c>
      <c r="AE75">
        <v>0</v>
      </c>
      <c r="AF75" t="s">
        <v>75</v>
      </c>
      <c r="AG75" t="s">
        <v>122</v>
      </c>
      <c r="AH75" t="s">
        <v>121</v>
      </c>
      <c r="AI75" t="s">
        <v>75</v>
      </c>
    </row>
    <row r="76" spans="1:35" x14ac:dyDescent="0.35">
      <c r="A76">
        <v>171</v>
      </c>
      <c r="B76" s="17">
        <v>45839</v>
      </c>
      <c r="C76" s="19" t="s">
        <v>87</v>
      </c>
      <c r="D76" s="19" t="s">
        <v>75</v>
      </c>
      <c r="E76" s="19" t="s">
        <v>20</v>
      </c>
      <c r="F76" t="s">
        <v>16</v>
      </c>
      <c r="G76" t="s">
        <v>75</v>
      </c>
      <c r="H76" t="s">
        <v>82</v>
      </c>
      <c r="I76">
        <v>0</v>
      </c>
      <c r="J76">
        <v>0</v>
      </c>
      <c r="K76" t="s">
        <v>20</v>
      </c>
      <c r="L76" t="s">
        <v>82</v>
      </c>
      <c r="M76" t="s">
        <v>24</v>
      </c>
      <c r="N76">
        <v>34</v>
      </c>
      <c r="O76" s="18">
        <v>19669.824000000001</v>
      </c>
      <c r="P76" s="18">
        <v>1292</v>
      </c>
      <c r="Q76" s="18">
        <v>38</v>
      </c>
      <c r="R76">
        <v>747453.31200000003</v>
      </c>
      <c r="S76">
        <v>1</v>
      </c>
      <c r="T76">
        <v>0</v>
      </c>
      <c r="U76" t="s">
        <v>75</v>
      </c>
      <c r="V76" t="s">
        <v>75</v>
      </c>
      <c r="W76" t="s">
        <v>77</v>
      </c>
      <c r="X76" t="s">
        <v>95</v>
      </c>
      <c r="Y76" t="s">
        <v>24</v>
      </c>
      <c r="Z76" t="s">
        <v>17</v>
      </c>
      <c r="AA76" t="s">
        <v>17</v>
      </c>
      <c r="AB76">
        <v>2</v>
      </c>
      <c r="AC76">
        <v>20</v>
      </c>
      <c r="AD76">
        <v>0</v>
      </c>
      <c r="AE76">
        <v>0</v>
      </c>
      <c r="AF76" t="s">
        <v>75</v>
      </c>
      <c r="AG76" t="s">
        <v>75</v>
      </c>
      <c r="AH76" t="s">
        <v>75</v>
      </c>
      <c r="AI76" t="s">
        <v>75</v>
      </c>
    </row>
    <row r="77" spans="1:35" x14ac:dyDescent="0.35">
      <c r="A77">
        <v>174</v>
      </c>
      <c r="B77" s="17">
        <v>45845</v>
      </c>
      <c r="C77" s="19" t="s">
        <v>74</v>
      </c>
      <c r="D77" s="19" t="s">
        <v>75</v>
      </c>
      <c r="E77" s="19" t="s">
        <v>84</v>
      </c>
      <c r="F77" t="s">
        <v>16</v>
      </c>
      <c r="G77" t="s">
        <v>75</v>
      </c>
      <c r="H77" t="s">
        <v>80</v>
      </c>
      <c r="I77">
        <v>0.15</v>
      </c>
      <c r="J77">
        <v>30</v>
      </c>
      <c r="K77" t="s">
        <v>20</v>
      </c>
      <c r="L77" t="s">
        <v>80</v>
      </c>
      <c r="M77" t="s">
        <v>24</v>
      </c>
      <c r="N77">
        <v>200</v>
      </c>
      <c r="O77" s="18">
        <v>19669.824000000001</v>
      </c>
      <c r="P77" s="18">
        <v>7600</v>
      </c>
      <c r="Q77" s="18">
        <v>38</v>
      </c>
      <c r="R77">
        <v>747453.31200000003</v>
      </c>
      <c r="S77">
        <v>1</v>
      </c>
      <c r="T77">
        <v>0</v>
      </c>
      <c r="U77" t="s">
        <v>75</v>
      </c>
      <c r="V77" t="s">
        <v>75</v>
      </c>
      <c r="W77" t="s">
        <v>77</v>
      </c>
      <c r="X77" t="s">
        <v>101</v>
      </c>
      <c r="Y77" t="s">
        <v>24</v>
      </c>
      <c r="Z77" t="s">
        <v>17</v>
      </c>
      <c r="AA77" t="s">
        <v>17</v>
      </c>
      <c r="AB77">
        <v>0</v>
      </c>
      <c r="AC77">
        <v>0</v>
      </c>
      <c r="AD77">
        <v>0</v>
      </c>
      <c r="AE77">
        <v>0</v>
      </c>
      <c r="AF77" t="s">
        <v>87</v>
      </c>
      <c r="AG77" t="s">
        <v>75</v>
      </c>
      <c r="AH77" t="s">
        <v>75</v>
      </c>
      <c r="AI77" t="s">
        <v>75</v>
      </c>
    </row>
    <row r="78" spans="1:35" x14ac:dyDescent="0.35">
      <c r="A78">
        <v>174</v>
      </c>
      <c r="B78" s="17">
        <v>45845</v>
      </c>
      <c r="C78" s="19" t="s">
        <v>74</v>
      </c>
      <c r="D78" s="19" t="s">
        <v>75</v>
      </c>
      <c r="E78" s="19" t="s">
        <v>84</v>
      </c>
      <c r="F78" t="s">
        <v>16</v>
      </c>
      <c r="G78" t="s">
        <v>75</v>
      </c>
      <c r="H78" t="s">
        <v>82</v>
      </c>
      <c r="I78">
        <v>0</v>
      </c>
      <c r="J78">
        <v>0</v>
      </c>
      <c r="K78" t="s">
        <v>20</v>
      </c>
      <c r="L78" t="s">
        <v>82</v>
      </c>
      <c r="M78" t="s">
        <v>24</v>
      </c>
      <c r="N78">
        <v>150</v>
      </c>
      <c r="O78" s="18">
        <v>19669.824000000001</v>
      </c>
      <c r="P78" s="18">
        <v>5700</v>
      </c>
      <c r="Q78" s="18">
        <v>38</v>
      </c>
      <c r="R78">
        <v>747453.31200000003</v>
      </c>
      <c r="S78">
        <v>1</v>
      </c>
      <c r="T78">
        <v>0</v>
      </c>
      <c r="U78" t="s">
        <v>75</v>
      </c>
      <c r="V78" t="s">
        <v>75</v>
      </c>
      <c r="W78" t="s">
        <v>77</v>
      </c>
      <c r="X78" t="s">
        <v>95</v>
      </c>
      <c r="Y78" t="s">
        <v>24</v>
      </c>
      <c r="Z78" t="s">
        <v>17</v>
      </c>
      <c r="AA78" t="s">
        <v>17</v>
      </c>
      <c r="AB78">
        <v>0</v>
      </c>
      <c r="AC78">
        <v>0</v>
      </c>
      <c r="AD78">
        <v>0</v>
      </c>
      <c r="AE78">
        <v>0</v>
      </c>
      <c r="AF78" t="s">
        <v>87</v>
      </c>
      <c r="AG78" t="s">
        <v>75</v>
      </c>
      <c r="AH78" t="s">
        <v>75</v>
      </c>
      <c r="AI78" t="s">
        <v>75</v>
      </c>
    </row>
    <row r="79" spans="1:35" x14ac:dyDescent="0.35">
      <c r="A79">
        <v>174</v>
      </c>
      <c r="B79" s="17">
        <v>45845</v>
      </c>
      <c r="C79" s="19" t="s">
        <v>74</v>
      </c>
      <c r="D79" s="19" t="s">
        <v>75</v>
      </c>
      <c r="E79" s="19" t="s">
        <v>84</v>
      </c>
      <c r="F79" t="s">
        <v>16</v>
      </c>
      <c r="G79" t="s">
        <v>75</v>
      </c>
      <c r="H79" t="s">
        <v>107</v>
      </c>
      <c r="I79">
        <v>0</v>
      </c>
      <c r="J79">
        <v>0</v>
      </c>
      <c r="K79" t="s">
        <v>20</v>
      </c>
      <c r="L79" t="s">
        <v>107</v>
      </c>
      <c r="M79" t="s">
        <v>21</v>
      </c>
      <c r="N79">
        <v>20</v>
      </c>
      <c r="O79" s="18">
        <v>1825</v>
      </c>
      <c r="P79" s="18">
        <v>9100</v>
      </c>
      <c r="Q79" s="18">
        <v>455</v>
      </c>
      <c r="R79">
        <v>830375</v>
      </c>
      <c r="S79">
        <v>1</v>
      </c>
      <c r="T79">
        <v>0</v>
      </c>
      <c r="U79" t="s">
        <v>75</v>
      </c>
      <c r="V79" t="s">
        <v>75</v>
      </c>
      <c r="W79" t="s">
        <v>77</v>
      </c>
      <c r="X79" t="s">
        <v>108</v>
      </c>
      <c r="Y79" t="s">
        <v>21</v>
      </c>
      <c r="Z79" t="s">
        <v>17</v>
      </c>
      <c r="AA79" t="s">
        <v>17</v>
      </c>
      <c r="AB79">
        <v>0</v>
      </c>
      <c r="AC79">
        <v>0</v>
      </c>
      <c r="AD79">
        <v>0</v>
      </c>
      <c r="AE79">
        <v>0</v>
      </c>
      <c r="AF79" t="s">
        <v>87</v>
      </c>
      <c r="AG79" t="s">
        <v>75</v>
      </c>
      <c r="AH79" t="s">
        <v>75</v>
      </c>
      <c r="AI79" t="s">
        <v>75</v>
      </c>
    </row>
    <row r="80" spans="1:35" x14ac:dyDescent="0.35">
      <c r="A80">
        <v>175</v>
      </c>
      <c r="B80" s="17">
        <v>45846</v>
      </c>
      <c r="C80" s="19" t="s">
        <v>87</v>
      </c>
      <c r="D80" s="19" t="s">
        <v>75</v>
      </c>
      <c r="E80" s="19" t="s">
        <v>20</v>
      </c>
      <c r="F80" t="s">
        <v>16</v>
      </c>
      <c r="G80" t="s">
        <v>75</v>
      </c>
      <c r="H80" t="s">
        <v>80</v>
      </c>
      <c r="I80">
        <v>0.15</v>
      </c>
      <c r="J80">
        <v>21.599999999999998</v>
      </c>
      <c r="K80" t="s">
        <v>20</v>
      </c>
      <c r="L80" t="s">
        <v>80</v>
      </c>
      <c r="M80" t="s">
        <v>24</v>
      </c>
      <c r="N80">
        <v>144</v>
      </c>
      <c r="O80" s="18">
        <v>19669.824000000001</v>
      </c>
      <c r="P80" s="18">
        <v>5472</v>
      </c>
      <c r="Q80" s="18">
        <v>38</v>
      </c>
      <c r="R80">
        <v>747453.31200000003</v>
      </c>
      <c r="S80">
        <v>1</v>
      </c>
      <c r="T80">
        <v>0</v>
      </c>
      <c r="U80" t="s">
        <v>75</v>
      </c>
      <c r="V80" t="s">
        <v>75</v>
      </c>
      <c r="W80" t="s">
        <v>77</v>
      </c>
      <c r="X80" t="s">
        <v>101</v>
      </c>
      <c r="Y80" t="s">
        <v>24</v>
      </c>
      <c r="Z80" t="s">
        <v>17</v>
      </c>
      <c r="AA80" t="s">
        <v>17</v>
      </c>
      <c r="AB80">
        <v>0</v>
      </c>
      <c r="AC80">
        <v>0</v>
      </c>
      <c r="AD80">
        <v>0</v>
      </c>
      <c r="AE80">
        <v>0</v>
      </c>
      <c r="AF80" t="s">
        <v>87</v>
      </c>
      <c r="AG80" t="s">
        <v>75</v>
      </c>
      <c r="AH80" t="s">
        <v>75</v>
      </c>
      <c r="AI80" t="s">
        <v>75</v>
      </c>
    </row>
    <row r="81" spans="1:35" x14ac:dyDescent="0.35">
      <c r="A81">
        <v>175</v>
      </c>
      <c r="B81" s="17">
        <v>45846</v>
      </c>
      <c r="C81" s="19" t="s">
        <v>87</v>
      </c>
      <c r="D81" s="19" t="s">
        <v>75</v>
      </c>
      <c r="E81" s="19" t="s">
        <v>20</v>
      </c>
      <c r="F81" t="s">
        <v>16</v>
      </c>
      <c r="G81" t="s">
        <v>75</v>
      </c>
      <c r="H81" t="s">
        <v>82</v>
      </c>
      <c r="I81">
        <v>0</v>
      </c>
      <c r="J81">
        <v>0</v>
      </c>
      <c r="K81" t="s">
        <v>20</v>
      </c>
      <c r="L81" t="s">
        <v>82</v>
      </c>
      <c r="M81" t="s">
        <v>24</v>
      </c>
      <c r="N81">
        <v>134</v>
      </c>
      <c r="O81" s="18">
        <v>19669.824000000001</v>
      </c>
      <c r="P81" s="18">
        <v>5092</v>
      </c>
      <c r="Q81" s="18">
        <v>38</v>
      </c>
      <c r="R81">
        <v>747453.31200000003</v>
      </c>
      <c r="S81">
        <v>1</v>
      </c>
      <c r="T81">
        <v>0</v>
      </c>
      <c r="U81" t="s">
        <v>75</v>
      </c>
      <c r="V81" t="s">
        <v>75</v>
      </c>
      <c r="W81" t="s">
        <v>77</v>
      </c>
      <c r="X81" t="s">
        <v>95</v>
      </c>
      <c r="Y81" t="s">
        <v>24</v>
      </c>
      <c r="Z81" t="s">
        <v>17</v>
      </c>
      <c r="AA81" t="s">
        <v>17</v>
      </c>
      <c r="AB81">
        <v>0</v>
      </c>
      <c r="AC81">
        <v>0</v>
      </c>
      <c r="AD81">
        <v>0</v>
      </c>
      <c r="AE81">
        <v>0</v>
      </c>
      <c r="AF81" t="s">
        <v>87</v>
      </c>
      <c r="AG81" t="s">
        <v>123</v>
      </c>
      <c r="AH81" t="s">
        <v>121</v>
      </c>
      <c r="AI81" t="s">
        <v>124</v>
      </c>
    </row>
    <row r="82" spans="1:35" x14ac:dyDescent="0.35">
      <c r="A82">
        <v>176</v>
      </c>
      <c r="B82" s="17">
        <v>45846</v>
      </c>
      <c r="C82" s="19" t="s">
        <v>87</v>
      </c>
      <c r="D82" s="19" t="s">
        <v>75</v>
      </c>
      <c r="E82" s="19" t="s">
        <v>20</v>
      </c>
      <c r="F82" t="s">
        <v>16</v>
      </c>
      <c r="G82" t="s">
        <v>75</v>
      </c>
      <c r="H82" t="s">
        <v>80</v>
      </c>
      <c r="I82">
        <v>0.15</v>
      </c>
      <c r="J82">
        <v>36.75</v>
      </c>
      <c r="K82" t="s">
        <v>20</v>
      </c>
      <c r="L82" t="s">
        <v>80</v>
      </c>
      <c r="M82" t="s">
        <v>24</v>
      </c>
      <c r="N82">
        <v>245</v>
      </c>
      <c r="O82" s="18">
        <v>19669.824000000001</v>
      </c>
      <c r="P82" s="18">
        <v>9310</v>
      </c>
      <c r="Q82" s="18">
        <v>38</v>
      </c>
      <c r="R82">
        <v>747453.31200000003</v>
      </c>
      <c r="S82">
        <v>1</v>
      </c>
      <c r="T82">
        <v>0</v>
      </c>
      <c r="U82" t="s">
        <v>75</v>
      </c>
      <c r="V82" t="s">
        <v>75</v>
      </c>
      <c r="W82" t="s">
        <v>77</v>
      </c>
      <c r="X82" t="s">
        <v>101</v>
      </c>
      <c r="Y82" t="s">
        <v>24</v>
      </c>
      <c r="Z82" t="s">
        <v>17</v>
      </c>
      <c r="AA82" t="s">
        <v>17</v>
      </c>
      <c r="AB82">
        <v>0</v>
      </c>
      <c r="AC82">
        <v>0</v>
      </c>
      <c r="AD82">
        <v>0</v>
      </c>
      <c r="AE82">
        <v>0</v>
      </c>
      <c r="AF82" t="s">
        <v>74</v>
      </c>
      <c r="AG82" t="s">
        <v>75</v>
      </c>
      <c r="AH82" t="s">
        <v>75</v>
      </c>
      <c r="AI82" t="s">
        <v>75</v>
      </c>
    </row>
    <row r="83" spans="1:35" x14ac:dyDescent="0.35">
      <c r="A83">
        <v>176</v>
      </c>
      <c r="B83" s="17">
        <v>45846</v>
      </c>
      <c r="C83" s="19" t="s">
        <v>87</v>
      </c>
      <c r="D83" s="19" t="s">
        <v>75</v>
      </c>
      <c r="E83" s="19" t="s">
        <v>20</v>
      </c>
      <c r="F83" t="s">
        <v>16</v>
      </c>
      <c r="G83" t="s">
        <v>75</v>
      </c>
      <c r="H83" t="s">
        <v>82</v>
      </c>
      <c r="I83">
        <v>0</v>
      </c>
      <c r="J83">
        <v>0</v>
      </c>
      <c r="K83" t="s">
        <v>20</v>
      </c>
      <c r="L83" t="s">
        <v>82</v>
      </c>
      <c r="M83" t="s">
        <v>24</v>
      </c>
      <c r="N83">
        <v>345</v>
      </c>
      <c r="O83" s="18">
        <v>19669.824000000001</v>
      </c>
      <c r="P83" s="18">
        <v>13110</v>
      </c>
      <c r="Q83" s="18">
        <v>38</v>
      </c>
      <c r="R83">
        <v>747453.31200000003</v>
      </c>
      <c r="S83">
        <v>1</v>
      </c>
      <c r="T83">
        <v>0</v>
      </c>
      <c r="U83" t="s">
        <v>75</v>
      </c>
      <c r="V83" t="s">
        <v>75</v>
      </c>
      <c r="W83" t="s">
        <v>77</v>
      </c>
      <c r="X83" t="s">
        <v>95</v>
      </c>
      <c r="Y83" t="s">
        <v>24</v>
      </c>
      <c r="Z83" t="s">
        <v>17</v>
      </c>
      <c r="AA83" t="s">
        <v>17</v>
      </c>
      <c r="AB83">
        <v>0</v>
      </c>
      <c r="AC83">
        <v>0</v>
      </c>
      <c r="AD83">
        <v>0</v>
      </c>
      <c r="AE83">
        <v>0</v>
      </c>
      <c r="AF83" t="s">
        <v>74</v>
      </c>
      <c r="AG83" t="s">
        <v>75</v>
      </c>
      <c r="AH83" t="s">
        <v>75</v>
      </c>
      <c r="AI83" t="s">
        <v>75</v>
      </c>
    </row>
    <row r="84" spans="1:35" x14ac:dyDescent="0.35">
      <c r="A84">
        <v>184</v>
      </c>
      <c r="B84" s="17">
        <v>45853</v>
      </c>
      <c r="C84" s="19" t="s">
        <v>74</v>
      </c>
      <c r="D84" s="19" t="s">
        <v>75</v>
      </c>
      <c r="E84" s="19" t="s">
        <v>84</v>
      </c>
      <c r="F84" t="s">
        <v>16</v>
      </c>
      <c r="G84" t="s">
        <v>75</v>
      </c>
      <c r="H84" t="s">
        <v>88</v>
      </c>
      <c r="I84">
        <v>0</v>
      </c>
      <c r="J84">
        <v>0</v>
      </c>
      <c r="K84" t="s">
        <v>20</v>
      </c>
      <c r="L84" t="s">
        <v>88</v>
      </c>
      <c r="M84" t="s">
        <v>21</v>
      </c>
      <c r="N84">
        <v>4</v>
      </c>
      <c r="O84" s="18">
        <v>14</v>
      </c>
      <c r="P84" s="18">
        <v>7504</v>
      </c>
      <c r="Q84" s="18">
        <v>1876</v>
      </c>
      <c r="R84">
        <v>26264</v>
      </c>
      <c r="S84">
        <v>1</v>
      </c>
      <c r="T84">
        <v>0</v>
      </c>
      <c r="U84" t="s">
        <v>75</v>
      </c>
      <c r="V84" t="s">
        <v>75</v>
      </c>
      <c r="W84" t="s">
        <v>77</v>
      </c>
      <c r="X84" t="s">
        <v>109</v>
      </c>
      <c r="Y84" t="s">
        <v>21</v>
      </c>
      <c r="Z84" t="s">
        <v>17</v>
      </c>
      <c r="AA84" t="s">
        <v>17</v>
      </c>
      <c r="AB84">
        <v>0</v>
      </c>
      <c r="AC84">
        <v>0</v>
      </c>
      <c r="AD84">
        <v>0</v>
      </c>
      <c r="AE84">
        <v>0</v>
      </c>
      <c r="AF84" t="s">
        <v>74</v>
      </c>
      <c r="AG84" t="s">
        <v>75</v>
      </c>
      <c r="AH84" t="s">
        <v>75</v>
      </c>
      <c r="AI84" t="s">
        <v>75</v>
      </c>
    </row>
    <row r="85" spans="1:35" x14ac:dyDescent="0.35">
      <c r="A85">
        <v>184</v>
      </c>
      <c r="B85" s="17">
        <v>45853</v>
      </c>
      <c r="C85" s="19" t="s">
        <v>74</v>
      </c>
      <c r="D85" s="19" t="s">
        <v>75</v>
      </c>
      <c r="E85" s="19" t="s">
        <v>84</v>
      </c>
      <c r="F85" t="s">
        <v>16</v>
      </c>
      <c r="G85" t="s">
        <v>75</v>
      </c>
      <c r="H85" t="s">
        <v>76</v>
      </c>
      <c r="I85">
        <v>0</v>
      </c>
      <c r="J85">
        <v>0</v>
      </c>
      <c r="K85" t="s">
        <v>20</v>
      </c>
      <c r="L85" t="s">
        <v>76</v>
      </c>
      <c r="M85" t="s">
        <v>21</v>
      </c>
      <c r="N85">
        <v>0</v>
      </c>
      <c r="O85" s="18">
        <v>192</v>
      </c>
      <c r="P85" s="18">
        <v>0</v>
      </c>
      <c r="Q85" s="18">
        <v>165</v>
      </c>
      <c r="R85">
        <v>31680</v>
      </c>
      <c r="S85">
        <v>1</v>
      </c>
      <c r="T85">
        <v>0</v>
      </c>
      <c r="U85" t="s">
        <v>75</v>
      </c>
      <c r="V85" t="s">
        <v>75</v>
      </c>
      <c r="W85" t="s">
        <v>77</v>
      </c>
      <c r="X85" t="s">
        <v>97</v>
      </c>
      <c r="Y85" t="s">
        <v>21</v>
      </c>
      <c r="Z85" t="s">
        <v>17</v>
      </c>
      <c r="AA85" t="s">
        <v>17</v>
      </c>
      <c r="AB85">
        <v>0</v>
      </c>
      <c r="AC85">
        <v>0</v>
      </c>
      <c r="AD85">
        <v>0</v>
      </c>
      <c r="AE85">
        <v>0</v>
      </c>
      <c r="AF85" t="s">
        <v>74</v>
      </c>
      <c r="AG85" t="s">
        <v>75</v>
      </c>
      <c r="AH85" t="s">
        <v>75</v>
      </c>
      <c r="AI85" t="s">
        <v>75</v>
      </c>
    </row>
    <row r="86" spans="1:35" x14ac:dyDescent="0.35">
      <c r="A86">
        <v>184</v>
      </c>
      <c r="B86" s="17">
        <v>45853</v>
      </c>
      <c r="C86" s="19" t="s">
        <v>74</v>
      </c>
      <c r="D86" s="19" t="s">
        <v>75</v>
      </c>
      <c r="E86" s="19" t="s">
        <v>84</v>
      </c>
      <c r="F86" t="s">
        <v>16</v>
      </c>
      <c r="G86" t="s">
        <v>75</v>
      </c>
      <c r="H86" t="s">
        <v>119</v>
      </c>
      <c r="I86">
        <v>0</v>
      </c>
      <c r="J86">
        <v>0</v>
      </c>
      <c r="K86" t="s">
        <v>20</v>
      </c>
      <c r="L86" t="s">
        <v>119</v>
      </c>
      <c r="M86" t="s">
        <v>24</v>
      </c>
      <c r="N86">
        <v>0</v>
      </c>
      <c r="O86" s="18">
        <v>4884</v>
      </c>
      <c r="P86" s="18">
        <v>0</v>
      </c>
      <c r="Q86" s="18">
        <v>44</v>
      </c>
      <c r="R86">
        <v>214896</v>
      </c>
      <c r="S86">
        <v>1</v>
      </c>
      <c r="T86">
        <v>0</v>
      </c>
      <c r="U86" t="s">
        <v>75</v>
      </c>
      <c r="V86" t="s">
        <v>75</v>
      </c>
      <c r="W86" t="s">
        <v>77</v>
      </c>
      <c r="X86" t="s">
        <v>119</v>
      </c>
      <c r="Y86" t="s">
        <v>24</v>
      </c>
      <c r="Z86" t="s">
        <v>17</v>
      </c>
      <c r="AA86" t="s">
        <v>17</v>
      </c>
      <c r="AB86">
        <v>0</v>
      </c>
      <c r="AC86">
        <v>0</v>
      </c>
      <c r="AD86">
        <v>0</v>
      </c>
      <c r="AE86">
        <v>0</v>
      </c>
      <c r="AF86" t="s">
        <v>74</v>
      </c>
      <c r="AG86" t="s">
        <v>75</v>
      </c>
      <c r="AH86" t="s">
        <v>75</v>
      </c>
      <c r="AI86" t="s">
        <v>75</v>
      </c>
    </row>
    <row r="87" spans="1:35" x14ac:dyDescent="0.35">
      <c r="A87">
        <v>184</v>
      </c>
      <c r="B87" s="17">
        <v>45853</v>
      </c>
      <c r="C87" s="19" t="s">
        <v>74</v>
      </c>
      <c r="D87" s="19" t="s">
        <v>75</v>
      </c>
      <c r="E87" s="19" t="s">
        <v>84</v>
      </c>
      <c r="F87" t="s">
        <v>16</v>
      </c>
      <c r="G87" t="s">
        <v>75</v>
      </c>
      <c r="H87" t="s">
        <v>80</v>
      </c>
      <c r="I87">
        <v>0.15</v>
      </c>
      <c r="J87">
        <v>15</v>
      </c>
      <c r="K87" t="s">
        <v>20</v>
      </c>
      <c r="L87" t="s">
        <v>80</v>
      </c>
      <c r="M87" t="s">
        <v>24</v>
      </c>
      <c r="N87">
        <v>100</v>
      </c>
      <c r="O87" s="18">
        <v>19669.824000000001</v>
      </c>
      <c r="P87" s="18">
        <v>3800</v>
      </c>
      <c r="Q87" s="18">
        <v>38</v>
      </c>
      <c r="R87">
        <v>747453.31200000003</v>
      </c>
      <c r="S87">
        <v>1</v>
      </c>
      <c r="T87">
        <v>0</v>
      </c>
      <c r="U87" t="s">
        <v>75</v>
      </c>
      <c r="V87" t="s">
        <v>75</v>
      </c>
      <c r="W87" t="s">
        <v>77</v>
      </c>
      <c r="X87" t="s">
        <v>101</v>
      </c>
      <c r="Y87" t="s">
        <v>24</v>
      </c>
      <c r="Z87" t="s">
        <v>17</v>
      </c>
      <c r="AA87" t="s">
        <v>17</v>
      </c>
      <c r="AB87">
        <v>0</v>
      </c>
      <c r="AC87">
        <v>0</v>
      </c>
      <c r="AD87">
        <v>0</v>
      </c>
      <c r="AE87">
        <v>0</v>
      </c>
      <c r="AF87" t="s">
        <v>74</v>
      </c>
      <c r="AG87" t="s">
        <v>75</v>
      </c>
      <c r="AH87" t="s">
        <v>75</v>
      </c>
      <c r="AI87" t="s">
        <v>75</v>
      </c>
    </row>
    <row r="88" spans="1:35" x14ac:dyDescent="0.35">
      <c r="A88">
        <v>184</v>
      </c>
      <c r="B88" s="17">
        <v>45853</v>
      </c>
      <c r="C88" s="19" t="s">
        <v>74</v>
      </c>
      <c r="D88" s="19" t="s">
        <v>75</v>
      </c>
      <c r="E88" s="19" t="s">
        <v>84</v>
      </c>
      <c r="F88" t="s">
        <v>16</v>
      </c>
      <c r="G88" t="s">
        <v>75</v>
      </c>
      <c r="H88" t="s">
        <v>82</v>
      </c>
      <c r="I88">
        <v>0</v>
      </c>
      <c r="J88">
        <v>0</v>
      </c>
      <c r="K88" t="s">
        <v>20</v>
      </c>
      <c r="L88" t="s">
        <v>82</v>
      </c>
      <c r="M88" t="s">
        <v>24</v>
      </c>
      <c r="N88">
        <v>800</v>
      </c>
      <c r="O88" s="18">
        <v>19669.824000000001</v>
      </c>
      <c r="P88" s="18">
        <v>30400</v>
      </c>
      <c r="Q88" s="18">
        <v>38</v>
      </c>
      <c r="R88">
        <v>747453.31200000003</v>
      </c>
      <c r="S88">
        <v>1</v>
      </c>
      <c r="T88">
        <v>0</v>
      </c>
      <c r="U88" t="s">
        <v>75</v>
      </c>
      <c r="V88" t="s">
        <v>75</v>
      </c>
      <c r="W88" t="s">
        <v>77</v>
      </c>
      <c r="X88" t="s">
        <v>95</v>
      </c>
      <c r="Y88" t="s">
        <v>24</v>
      </c>
      <c r="Z88" t="s">
        <v>17</v>
      </c>
      <c r="AA88" t="s">
        <v>17</v>
      </c>
      <c r="AB88">
        <v>0</v>
      </c>
      <c r="AC88">
        <v>0</v>
      </c>
      <c r="AD88">
        <v>0</v>
      </c>
      <c r="AE88">
        <v>0</v>
      </c>
      <c r="AF88" t="s">
        <v>74</v>
      </c>
      <c r="AG88" t="s">
        <v>75</v>
      </c>
      <c r="AH88" t="s">
        <v>75</v>
      </c>
      <c r="AI88" t="s">
        <v>75</v>
      </c>
    </row>
    <row r="89" spans="1:35" x14ac:dyDescent="0.35">
      <c r="A89">
        <v>184</v>
      </c>
      <c r="B89" s="17">
        <v>45853</v>
      </c>
      <c r="C89" s="19" t="s">
        <v>74</v>
      </c>
      <c r="D89" s="19" t="s">
        <v>75</v>
      </c>
      <c r="E89" s="19" t="s">
        <v>84</v>
      </c>
      <c r="F89" t="s">
        <v>16</v>
      </c>
      <c r="G89" t="s">
        <v>75</v>
      </c>
      <c r="H89" t="s">
        <v>83</v>
      </c>
      <c r="I89">
        <v>0</v>
      </c>
      <c r="J89">
        <v>0</v>
      </c>
      <c r="K89" t="s">
        <v>20</v>
      </c>
      <c r="L89" t="s">
        <v>83</v>
      </c>
      <c r="M89" t="s">
        <v>24</v>
      </c>
      <c r="N89">
        <v>0</v>
      </c>
      <c r="O89" s="18">
        <v>1176</v>
      </c>
      <c r="P89" s="18">
        <v>0</v>
      </c>
      <c r="Q89" s="18">
        <v>55</v>
      </c>
      <c r="R89">
        <v>64680</v>
      </c>
      <c r="S89">
        <v>1</v>
      </c>
      <c r="T89">
        <v>0</v>
      </c>
      <c r="U89" t="s">
        <v>75</v>
      </c>
      <c r="V89" t="s">
        <v>75</v>
      </c>
      <c r="W89" t="s">
        <v>77</v>
      </c>
      <c r="X89" t="s">
        <v>83</v>
      </c>
      <c r="Y89" t="s">
        <v>24</v>
      </c>
      <c r="Z89" t="s">
        <v>17</v>
      </c>
      <c r="AA89" t="s">
        <v>17</v>
      </c>
      <c r="AB89">
        <v>0</v>
      </c>
      <c r="AC89">
        <v>0</v>
      </c>
      <c r="AD89">
        <v>0</v>
      </c>
      <c r="AE89">
        <v>0</v>
      </c>
      <c r="AF89" t="s">
        <v>74</v>
      </c>
      <c r="AG89" t="s">
        <v>75</v>
      </c>
      <c r="AH89" t="s">
        <v>75</v>
      </c>
      <c r="AI89" t="s">
        <v>75</v>
      </c>
    </row>
    <row r="90" spans="1:35" x14ac:dyDescent="0.35">
      <c r="A90">
        <v>184</v>
      </c>
      <c r="B90" s="17">
        <v>45853</v>
      </c>
      <c r="C90" s="19" t="s">
        <v>74</v>
      </c>
      <c r="D90" s="19" t="s">
        <v>75</v>
      </c>
      <c r="E90" s="19" t="s">
        <v>84</v>
      </c>
      <c r="F90" t="s">
        <v>16</v>
      </c>
      <c r="G90" t="s">
        <v>75</v>
      </c>
      <c r="H90" t="s">
        <v>107</v>
      </c>
      <c r="I90">
        <v>0</v>
      </c>
      <c r="J90">
        <v>0</v>
      </c>
      <c r="K90" t="s">
        <v>20</v>
      </c>
      <c r="L90" t="s">
        <v>107</v>
      </c>
      <c r="M90" t="s">
        <v>21</v>
      </c>
      <c r="N90">
        <v>0</v>
      </c>
      <c r="O90" s="18">
        <v>1825</v>
      </c>
      <c r="P90" s="18">
        <v>0</v>
      </c>
      <c r="Q90" s="18">
        <v>455</v>
      </c>
      <c r="R90">
        <v>830375</v>
      </c>
      <c r="S90">
        <v>1</v>
      </c>
      <c r="T90">
        <v>0</v>
      </c>
      <c r="U90" t="s">
        <v>75</v>
      </c>
      <c r="V90" t="s">
        <v>75</v>
      </c>
      <c r="W90" t="s">
        <v>77</v>
      </c>
      <c r="X90" t="s">
        <v>108</v>
      </c>
      <c r="Y90" t="s">
        <v>21</v>
      </c>
      <c r="Z90" t="s">
        <v>17</v>
      </c>
      <c r="AA90" t="s">
        <v>17</v>
      </c>
      <c r="AB90">
        <v>0</v>
      </c>
      <c r="AC90">
        <v>0</v>
      </c>
      <c r="AD90">
        <v>0</v>
      </c>
      <c r="AE90">
        <v>0</v>
      </c>
      <c r="AF90" t="s">
        <v>74</v>
      </c>
      <c r="AG90" t="s">
        <v>75</v>
      </c>
      <c r="AH90" t="s">
        <v>75</v>
      </c>
      <c r="AI90" t="s">
        <v>75</v>
      </c>
    </row>
    <row r="91" spans="1:35" x14ac:dyDescent="0.35">
      <c r="A91">
        <v>183</v>
      </c>
      <c r="B91" s="17">
        <v>45854</v>
      </c>
      <c r="C91" s="19" t="s">
        <v>74</v>
      </c>
      <c r="D91" s="19" t="s">
        <v>75</v>
      </c>
      <c r="E91" s="19" t="s">
        <v>84</v>
      </c>
      <c r="F91" t="s">
        <v>16</v>
      </c>
      <c r="G91" t="s">
        <v>75</v>
      </c>
      <c r="H91" t="s">
        <v>88</v>
      </c>
      <c r="I91">
        <v>0</v>
      </c>
      <c r="J91">
        <v>0</v>
      </c>
      <c r="K91" t="s">
        <v>20</v>
      </c>
      <c r="L91" t="s">
        <v>88</v>
      </c>
      <c r="M91" t="s">
        <v>21</v>
      </c>
      <c r="N91">
        <v>3</v>
      </c>
      <c r="O91" s="18">
        <v>14</v>
      </c>
      <c r="P91" s="18">
        <v>5628</v>
      </c>
      <c r="Q91" s="18">
        <v>1876</v>
      </c>
      <c r="R91">
        <v>26264</v>
      </c>
      <c r="S91">
        <v>1</v>
      </c>
      <c r="T91">
        <v>0</v>
      </c>
      <c r="U91" t="s">
        <v>75</v>
      </c>
      <c r="V91" t="s">
        <v>75</v>
      </c>
      <c r="W91" t="s">
        <v>77</v>
      </c>
      <c r="X91" t="s">
        <v>109</v>
      </c>
      <c r="Y91" t="s">
        <v>21</v>
      </c>
      <c r="Z91" t="s">
        <v>17</v>
      </c>
      <c r="AA91" t="s">
        <v>17</v>
      </c>
      <c r="AB91">
        <v>0</v>
      </c>
      <c r="AC91">
        <v>0</v>
      </c>
      <c r="AD91">
        <v>0</v>
      </c>
      <c r="AE91">
        <v>0</v>
      </c>
      <c r="AF91" t="s">
        <v>75</v>
      </c>
      <c r="AG91" t="s">
        <v>75</v>
      </c>
      <c r="AH91" t="s">
        <v>75</v>
      </c>
      <c r="AI91" t="s">
        <v>75</v>
      </c>
    </row>
    <row r="92" spans="1:35" x14ac:dyDescent="0.35">
      <c r="A92">
        <v>183</v>
      </c>
      <c r="B92" s="17">
        <v>45854</v>
      </c>
      <c r="C92" s="19" t="s">
        <v>74</v>
      </c>
      <c r="D92" s="19" t="s">
        <v>75</v>
      </c>
      <c r="E92" s="19" t="s">
        <v>84</v>
      </c>
      <c r="F92" t="s">
        <v>16</v>
      </c>
      <c r="G92" t="s">
        <v>75</v>
      </c>
      <c r="H92" t="s">
        <v>76</v>
      </c>
      <c r="I92">
        <v>0</v>
      </c>
      <c r="J92">
        <v>0</v>
      </c>
      <c r="K92" t="s">
        <v>20</v>
      </c>
      <c r="L92" t="s">
        <v>76</v>
      </c>
      <c r="M92" t="s">
        <v>21</v>
      </c>
      <c r="N92">
        <v>0</v>
      </c>
      <c r="O92" s="18">
        <v>192</v>
      </c>
      <c r="P92" s="18">
        <v>0</v>
      </c>
      <c r="Q92" s="18">
        <v>165</v>
      </c>
      <c r="R92">
        <v>31680</v>
      </c>
      <c r="S92">
        <v>1</v>
      </c>
      <c r="T92">
        <v>0</v>
      </c>
      <c r="U92" t="s">
        <v>75</v>
      </c>
      <c r="V92" t="s">
        <v>75</v>
      </c>
      <c r="W92" t="s">
        <v>77</v>
      </c>
      <c r="X92" t="s">
        <v>97</v>
      </c>
      <c r="Y92" t="s">
        <v>21</v>
      </c>
      <c r="Z92" t="s">
        <v>17</v>
      </c>
      <c r="AA92" t="s">
        <v>17</v>
      </c>
      <c r="AB92">
        <v>0</v>
      </c>
      <c r="AC92">
        <v>0</v>
      </c>
      <c r="AD92">
        <v>0</v>
      </c>
      <c r="AE92">
        <v>0</v>
      </c>
      <c r="AF92" t="s">
        <v>75</v>
      </c>
      <c r="AG92" t="s">
        <v>75</v>
      </c>
      <c r="AH92" t="s">
        <v>75</v>
      </c>
      <c r="AI92" t="s">
        <v>75</v>
      </c>
    </row>
    <row r="93" spans="1:35" x14ac:dyDescent="0.35">
      <c r="A93">
        <v>183</v>
      </c>
      <c r="B93" s="17">
        <v>45854</v>
      </c>
      <c r="C93" s="19" t="s">
        <v>74</v>
      </c>
      <c r="D93" s="19" t="s">
        <v>75</v>
      </c>
      <c r="E93" s="19" t="s">
        <v>84</v>
      </c>
      <c r="F93" t="s">
        <v>16</v>
      </c>
      <c r="G93" t="s">
        <v>75</v>
      </c>
      <c r="H93" t="s">
        <v>119</v>
      </c>
      <c r="I93">
        <v>0</v>
      </c>
      <c r="J93">
        <v>0</v>
      </c>
      <c r="K93" t="s">
        <v>20</v>
      </c>
      <c r="L93" t="s">
        <v>119</v>
      </c>
      <c r="M93" t="s">
        <v>24</v>
      </c>
      <c r="N93">
        <v>0</v>
      </c>
      <c r="O93" s="18">
        <v>4884</v>
      </c>
      <c r="P93" s="18">
        <v>0</v>
      </c>
      <c r="Q93" s="18">
        <v>44</v>
      </c>
      <c r="R93">
        <v>214896</v>
      </c>
      <c r="S93">
        <v>1</v>
      </c>
      <c r="T93">
        <v>0</v>
      </c>
      <c r="U93" t="s">
        <v>75</v>
      </c>
      <c r="V93" t="s">
        <v>75</v>
      </c>
      <c r="W93" t="s">
        <v>77</v>
      </c>
      <c r="X93" t="s">
        <v>119</v>
      </c>
      <c r="Y93" t="s">
        <v>24</v>
      </c>
      <c r="Z93" t="s">
        <v>17</v>
      </c>
      <c r="AA93" t="s">
        <v>17</v>
      </c>
      <c r="AB93">
        <v>0</v>
      </c>
      <c r="AC93">
        <v>0</v>
      </c>
      <c r="AD93">
        <v>0</v>
      </c>
      <c r="AE93">
        <v>0</v>
      </c>
      <c r="AF93" t="s">
        <v>75</v>
      </c>
      <c r="AG93" t="s">
        <v>75</v>
      </c>
      <c r="AH93" t="s">
        <v>75</v>
      </c>
      <c r="AI93" t="s">
        <v>75</v>
      </c>
    </row>
    <row r="94" spans="1:35" x14ac:dyDescent="0.35">
      <c r="A94">
        <v>183</v>
      </c>
      <c r="B94" s="17">
        <v>45854</v>
      </c>
      <c r="C94" s="19" t="s">
        <v>74</v>
      </c>
      <c r="D94" s="19" t="s">
        <v>75</v>
      </c>
      <c r="E94" s="19" t="s">
        <v>84</v>
      </c>
      <c r="F94" t="s">
        <v>16</v>
      </c>
      <c r="G94" t="s">
        <v>75</v>
      </c>
      <c r="H94" t="s">
        <v>79</v>
      </c>
      <c r="I94">
        <v>0</v>
      </c>
      <c r="J94">
        <v>0</v>
      </c>
      <c r="K94" t="s">
        <v>20</v>
      </c>
      <c r="L94" t="s">
        <v>79</v>
      </c>
      <c r="M94" t="s">
        <v>21</v>
      </c>
      <c r="N94">
        <v>2</v>
      </c>
      <c r="O94" s="18">
        <v>54</v>
      </c>
      <c r="P94" s="18">
        <v>600</v>
      </c>
      <c r="Q94" s="18">
        <v>300</v>
      </c>
      <c r="R94">
        <v>16200</v>
      </c>
      <c r="S94">
        <v>1</v>
      </c>
      <c r="T94">
        <v>0</v>
      </c>
      <c r="U94" t="s">
        <v>75</v>
      </c>
      <c r="V94" t="s">
        <v>75</v>
      </c>
      <c r="W94" t="s">
        <v>77</v>
      </c>
      <c r="X94" t="s">
        <v>98</v>
      </c>
      <c r="Y94" t="s">
        <v>21</v>
      </c>
      <c r="Z94" t="s">
        <v>17</v>
      </c>
      <c r="AA94" t="s">
        <v>17</v>
      </c>
      <c r="AB94">
        <v>0</v>
      </c>
      <c r="AC94">
        <v>0</v>
      </c>
      <c r="AD94">
        <v>0</v>
      </c>
      <c r="AE94">
        <v>0</v>
      </c>
      <c r="AF94" t="s">
        <v>75</v>
      </c>
      <c r="AG94" t="s">
        <v>75</v>
      </c>
      <c r="AH94" t="s">
        <v>75</v>
      </c>
      <c r="AI94" t="s">
        <v>75</v>
      </c>
    </row>
    <row r="95" spans="1:35" x14ac:dyDescent="0.35">
      <c r="A95">
        <v>183</v>
      </c>
      <c r="B95" s="17">
        <v>45854</v>
      </c>
      <c r="C95" s="19" t="s">
        <v>74</v>
      </c>
      <c r="D95" s="19" t="s">
        <v>75</v>
      </c>
      <c r="E95" s="19" t="s">
        <v>84</v>
      </c>
      <c r="F95" t="s">
        <v>16</v>
      </c>
      <c r="G95" t="s">
        <v>75</v>
      </c>
      <c r="H95" t="s">
        <v>80</v>
      </c>
      <c r="I95">
        <v>0.15</v>
      </c>
      <c r="J95">
        <v>15</v>
      </c>
      <c r="K95" t="s">
        <v>20</v>
      </c>
      <c r="L95" t="s">
        <v>80</v>
      </c>
      <c r="M95" t="s">
        <v>24</v>
      </c>
      <c r="N95">
        <v>100</v>
      </c>
      <c r="O95" s="18">
        <v>19669.824000000001</v>
      </c>
      <c r="P95" s="18">
        <v>3800</v>
      </c>
      <c r="Q95" s="18">
        <v>38</v>
      </c>
      <c r="R95">
        <v>747453.31200000003</v>
      </c>
      <c r="S95">
        <v>1</v>
      </c>
      <c r="T95">
        <v>0</v>
      </c>
      <c r="U95" t="s">
        <v>75</v>
      </c>
      <c r="V95" t="s">
        <v>75</v>
      </c>
      <c r="W95" t="s">
        <v>77</v>
      </c>
      <c r="X95" t="s">
        <v>101</v>
      </c>
      <c r="Y95" t="s">
        <v>24</v>
      </c>
      <c r="Z95" t="s">
        <v>17</v>
      </c>
      <c r="AA95" t="s">
        <v>17</v>
      </c>
      <c r="AB95">
        <v>0</v>
      </c>
      <c r="AC95">
        <v>0</v>
      </c>
      <c r="AD95">
        <v>0</v>
      </c>
      <c r="AE95">
        <v>0</v>
      </c>
      <c r="AF95" t="s">
        <v>75</v>
      </c>
      <c r="AG95" t="s">
        <v>75</v>
      </c>
      <c r="AH95" t="s">
        <v>75</v>
      </c>
      <c r="AI95" t="s">
        <v>75</v>
      </c>
    </row>
    <row r="96" spans="1:35" x14ac:dyDescent="0.35">
      <c r="A96">
        <v>183</v>
      </c>
      <c r="B96" s="17">
        <v>45854</v>
      </c>
      <c r="C96" s="19" t="s">
        <v>74</v>
      </c>
      <c r="D96" s="19" t="s">
        <v>75</v>
      </c>
      <c r="E96" s="19" t="s">
        <v>84</v>
      </c>
      <c r="F96" t="s">
        <v>16</v>
      </c>
      <c r="G96" t="s">
        <v>75</v>
      </c>
      <c r="H96" t="s">
        <v>82</v>
      </c>
      <c r="I96">
        <v>0</v>
      </c>
      <c r="J96">
        <v>0</v>
      </c>
      <c r="K96" t="s">
        <v>20</v>
      </c>
      <c r="L96" t="s">
        <v>82</v>
      </c>
      <c r="M96" t="s">
        <v>24</v>
      </c>
      <c r="N96">
        <v>800</v>
      </c>
      <c r="O96" s="18">
        <v>19669.824000000001</v>
      </c>
      <c r="P96" s="18">
        <v>30400</v>
      </c>
      <c r="Q96" s="18">
        <v>38</v>
      </c>
      <c r="R96">
        <v>747453.31200000003</v>
      </c>
      <c r="S96">
        <v>1</v>
      </c>
      <c r="T96">
        <v>0</v>
      </c>
      <c r="U96" t="s">
        <v>75</v>
      </c>
      <c r="V96" t="s">
        <v>75</v>
      </c>
      <c r="W96" t="s">
        <v>77</v>
      </c>
      <c r="X96" t="s">
        <v>95</v>
      </c>
      <c r="Y96" t="s">
        <v>24</v>
      </c>
      <c r="Z96" t="s">
        <v>17</v>
      </c>
      <c r="AA96" t="s">
        <v>17</v>
      </c>
      <c r="AB96">
        <v>0</v>
      </c>
      <c r="AC96">
        <v>0</v>
      </c>
      <c r="AD96">
        <v>0</v>
      </c>
      <c r="AE96">
        <v>0</v>
      </c>
      <c r="AF96" t="s">
        <v>75</v>
      </c>
      <c r="AG96" t="s">
        <v>75</v>
      </c>
      <c r="AH96" t="s">
        <v>75</v>
      </c>
      <c r="AI96" t="s">
        <v>75</v>
      </c>
    </row>
    <row r="97" spans="1:35" x14ac:dyDescent="0.35">
      <c r="A97">
        <v>183</v>
      </c>
      <c r="B97" s="17">
        <v>45854</v>
      </c>
      <c r="C97" s="19" t="s">
        <v>74</v>
      </c>
      <c r="D97" s="19" t="s">
        <v>75</v>
      </c>
      <c r="E97" s="19" t="s">
        <v>84</v>
      </c>
      <c r="F97" t="s">
        <v>16</v>
      </c>
      <c r="G97" t="s">
        <v>75</v>
      </c>
      <c r="H97" t="s">
        <v>83</v>
      </c>
      <c r="I97">
        <v>0</v>
      </c>
      <c r="J97">
        <v>0</v>
      </c>
      <c r="K97" t="s">
        <v>20</v>
      </c>
      <c r="L97" t="s">
        <v>83</v>
      </c>
      <c r="M97" t="s">
        <v>24</v>
      </c>
      <c r="N97">
        <v>0</v>
      </c>
      <c r="O97" s="18">
        <v>1176</v>
      </c>
      <c r="P97" s="18">
        <v>0</v>
      </c>
      <c r="Q97" s="18">
        <v>55</v>
      </c>
      <c r="R97">
        <v>64680</v>
      </c>
      <c r="S97">
        <v>1</v>
      </c>
      <c r="T97">
        <v>0</v>
      </c>
      <c r="U97" t="s">
        <v>75</v>
      </c>
      <c r="V97" t="s">
        <v>75</v>
      </c>
      <c r="W97" t="s">
        <v>77</v>
      </c>
      <c r="X97" t="s">
        <v>83</v>
      </c>
      <c r="Y97" t="s">
        <v>24</v>
      </c>
      <c r="Z97" t="s">
        <v>17</v>
      </c>
      <c r="AA97" t="s">
        <v>17</v>
      </c>
      <c r="AB97">
        <v>0</v>
      </c>
      <c r="AC97">
        <v>0</v>
      </c>
      <c r="AD97">
        <v>0</v>
      </c>
      <c r="AE97">
        <v>0</v>
      </c>
      <c r="AF97" t="s">
        <v>75</v>
      </c>
      <c r="AG97" t="s">
        <v>75</v>
      </c>
      <c r="AH97" t="s">
        <v>75</v>
      </c>
      <c r="AI97" t="s">
        <v>75</v>
      </c>
    </row>
    <row r="98" spans="1:35" x14ac:dyDescent="0.35">
      <c r="A98">
        <v>183</v>
      </c>
      <c r="B98" s="17">
        <v>45854</v>
      </c>
      <c r="C98" s="19" t="s">
        <v>74</v>
      </c>
      <c r="D98" s="19" t="s">
        <v>75</v>
      </c>
      <c r="E98" s="19" t="s">
        <v>84</v>
      </c>
      <c r="F98" t="s">
        <v>16</v>
      </c>
      <c r="G98" t="s">
        <v>75</v>
      </c>
      <c r="H98" t="s">
        <v>107</v>
      </c>
      <c r="I98">
        <v>0</v>
      </c>
      <c r="J98">
        <v>0</v>
      </c>
      <c r="K98" t="s">
        <v>20</v>
      </c>
      <c r="L98" t="s">
        <v>107</v>
      </c>
      <c r="M98" t="s">
        <v>21</v>
      </c>
      <c r="N98">
        <v>0</v>
      </c>
      <c r="O98" s="18">
        <v>1825</v>
      </c>
      <c r="P98" s="18">
        <v>0</v>
      </c>
      <c r="Q98" s="18">
        <v>455</v>
      </c>
      <c r="R98">
        <v>830375</v>
      </c>
      <c r="S98">
        <v>1</v>
      </c>
      <c r="T98">
        <v>0</v>
      </c>
      <c r="U98" t="s">
        <v>75</v>
      </c>
      <c r="V98" t="s">
        <v>75</v>
      </c>
      <c r="W98" t="s">
        <v>77</v>
      </c>
      <c r="X98" t="s">
        <v>108</v>
      </c>
      <c r="Y98" t="s">
        <v>21</v>
      </c>
      <c r="Z98" t="s">
        <v>17</v>
      </c>
      <c r="AA98" t="s">
        <v>17</v>
      </c>
      <c r="AB98">
        <v>0</v>
      </c>
      <c r="AC98">
        <v>0</v>
      </c>
      <c r="AD98">
        <v>0</v>
      </c>
      <c r="AE98">
        <v>0</v>
      </c>
      <c r="AF98" t="s">
        <v>75</v>
      </c>
      <c r="AG98" t="s">
        <v>75</v>
      </c>
      <c r="AH98" t="s">
        <v>75</v>
      </c>
      <c r="AI98" t="s">
        <v>75</v>
      </c>
    </row>
    <row r="99" spans="1:35" x14ac:dyDescent="0.35">
      <c r="A99">
        <v>185</v>
      </c>
      <c r="B99" s="17">
        <v>45855</v>
      </c>
      <c r="C99" s="19" t="s">
        <v>74</v>
      </c>
      <c r="D99" s="19" t="s">
        <v>75</v>
      </c>
      <c r="E99" s="19" t="s">
        <v>84</v>
      </c>
      <c r="F99" t="s">
        <v>16</v>
      </c>
      <c r="G99" t="s">
        <v>75</v>
      </c>
      <c r="H99" t="s">
        <v>76</v>
      </c>
      <c r="I99">
        <v>0</v>
      </c>
      <c r="J99">
        <v>0</v>
      </c>
      <c r="K99" t="s">
        <v>20</v>
      </c>
      <c r="L99" t="s">
        <v>76</v>
      </c>
      <c r="M99" t="s">
        <v>21</v>
      </c>
      <c r="N99">
        <v>6</v>
      </c>
      <c r="O99" s="18">
        <v>192</v>
      </c>
      <c r="P99" s="18">
        <v>990</v>
      </c>
      <c r="Q99" s="18">
        <v>165</v>
      </c>
      <c r="R99">
        <v>31680</v>
      </c>
      <c r="S99">
        <v>1</v>
      </c>
      <c r="T99">
        <v>0</v>
      </c>
      <c r="U99" t="s">
        <v>75</v>
      </c>
      <c r="V99" t="s">
        <v>75</v>
      </c>
      <c r="W99" t="s">
        <v>77</v>
      </c>
      <c r="X99" t="s">
        <v>97</v>
      </c>
      <c r="Y99" t="s">
        <v>21</v>
      </c>
      <c r="Z99" t="s">
        <v>17</v>
      </c>
      <c r="AA99" t="s">
        <v>17</v>
      </c>
      <c r="AB99">
        <v>0</v>
      </c>
      <c r="AC99">
        <v>0</v>
      </c>
      <c r="AD99">
        <v>0</v>
      </c>
      <c r="AE99">
        <v>0</v>
      </c>
      <c r="AF99" t="s">
        <v>75</v>
      </c>
      <c r="AG99" t="s">
        <v>75</v>
      </c>
      <c r="AH99" t="s">
        <v>75</v>
      </c>
      <c r="AI99" t="s">
        <v>75</v>
      </c>
    </row>
    <row r="100" spans="1:35" x14ac:dyDescent="0.35">
      <c r="A100">
        <v>185</v>
      </c>
      <c r="B100" s="17">
        <v>45855</v>
      </c>
      <c r="C100" s="19" t="s">
        <v>74</v>
      </c>
      <c r="D100" s="19" t="s">
        <v>75</v>
      </c>
      <c r="E100" s="19" t="s">
        <v>84</v>
      </c>
      <c r="F100" t="s">
        <v>16</v>
      </c>
      <c r="G100" t="s">
        <v>75</v>
      </c>
      <c r="H100" t="s">
        <v>83</v>
      </c>
      <c r="I100">
        <v>0</v>
      </c>
      <c r="J100">
        <v>0</v>
      </c>
      <c r="K100" t="s">
        <v>20</v>
      </c>
      <c r="L100" t="s">
        <v>83</v>
      </c>
      <c r="M100" t="s">
        <v>24</v>
      </c>
      <c r="N100">
        <v>49</v>
      </c>
      <c r="O100" s="18">
        <v>1176</v>
      </c>
      <c r="P100" s="18">
        <v>2695</v>
      </c>
      <c r="Q100" s="18">
        <v>55</v>
      </c>
      <c r="R100">
        <v>64680</v>
      </c>
      <c r="S100">
        <v>1</v>
      </c>
      <c r="T100">
        <v>0</v>
      </c>
      <c r="U100" t="s">
        <v>75</v>
      </c>
      <c r="V100" t="s">
        <v>75</v>
      </c>
      <c r="W100" t="s">
        <v>77</v>
      </c>
      <c r="X100" t="s">
        <v>83</v>
      </c>
      <c r="Y100" t="s">
        <v>24</v>
      </c>
      <c r="Z100" t="s">
        <v>17</v>
      </c>
      <c r="AA100" t="s">
        <v>17</v>
      </c>
      <c r="AB100">
        <v>0</v>
      </c>
      <c r="AC100">
        <v>0</v>
      </c>
      <c r="AD100">
        <v>0</v>
      </c>
      <c r="AE100">
        <v>0</v>
      </c>
      <c r="AF100" t="s">
        <v>75</v>
      </c>
      <c r="AG100" t="s">
        <v>75</v>
      </c>
      <c r="AH100" t="s">
        <v>75</v>
      </c>
      <c r="AI100" t="s">
        <v>75</v>
      </c>
    </row>
    <row r="101" spans="1:35" x14ac:dyDescent="0.35">
      <c r="A101">
        <v>187</v>
      </c>
      <c r="B101" s="17">
        <v>45877</v>
      </c>
      <c r="C101" t="s">
        <v>87</v>
      </c>
      <c r="D101" t="s">
        <v>75</v>
      </c>
      <c r="E101" t="s">
        <v>20</v>
      </c>
      <c r="F101" t="s">
        <v>16</v>
      </c>
      <c r="G101" t="s">
        <v>75</v>
      </c>
      <c r="H101" t="s">
        <v>80</v>
      </c>
      <c r="I101">
        <v>0.15</v>
      </c>
      <c r="J101">
        <v>53.25</v>
      </c>
      <c r="K101" t="s">
        <v>20</v>
      </c>
      <c r="L101" t="s">
        <v>80</v>
      </c>
      <c r="M101" t="s">
        <v>24</v>
      </c>
      <c r="N101">
        <v>355</v>
      </c>
      <c r="O101" s="18">
        <v>19669.824000000001</v>
      </c>
      <c r="P101" s="18">
        <v>13490</v>
      </c>
      <c r="Q101" s="18">
        <v>38</v>
      </c>
      <c r="R101">
        <v>747453.31200000003</v>
      </c>
      <c r="S101">
        <v>1</v>
      </c>
      <c r="T101">
        <v>0</v>
      </c>
      <c r="U101" t="s">
        <v>75</v>
      </c>
      <c r="V101" t="s">
        <v>75</v>
      </c>
      <c r="W101" t="s">
        <v>77</v>
      </c>
      <c r="X101" t="s">
        <v>101</v>
      </c>
      <c r="Y101" t="s">
        <v>24</v>
      </c>
      <c r="Z101" t="s">
        <v>17</v>
      </c>
      <c r="AA101" t="s">
        <v>17</v>
      </c>
      <c r="AB101">
        <v>0</v>
      </c>
      <c r="AC101">
        <v>0</v>
      </c>
      <c r="AD101">
        <v>0</v>
      </c>
      <c r="AE101">
        <v>0</v>
      </c>
      <c r="AF101" t="s">
        <v>75</v>
      </c>
      <c r="AG101" t="s">
        <v>75</v>
      </c>
      <c r="AH101" t="s">
        <v>75</v>
      </c>
      <c r="AI101" t="s">
        <v>75</v>
      </c>
    </row>
    <row r="102" spans="1:35" x14ac:dyDescent="0.35">
      <c r="A102">
        <v>187</v>
      </c>
      <c r="B102" s="17">
        <v>45877</v>
      </c>
      <c r="C102" t="s">
        <v>87</v>
      </c>
      <c r="D102" t="s">
        <v>75</v>
      </c>
      <c r="E102" t="s">
        <v>20</v>
      </c>
      <c r="F102" t="s">
        <v>16</v>
      </c>
      <c r="G102" t="s">
        <v>75</v>
      </c>
      <c r="H102" t="s">
        <v>82</v>
      </c>
      <c r="I102">
        <v>0</v>
      </c>
      <c r="J102">
        <v>0</v>
      </c>
      <c r="K102" t="s">
        <v>20</v>
      </c>
      <c r="L102" t="s">
        <v>82</v>
      </c>
      <c r="M102" t="s">
        <v>24</v>
      </c>
      <c r="N102">
        <v>34</v>
      </c>
      <c r="O102" s="18">
        <v>19669.824000000001</v>
      </c>
      <c r="P102" s="18">
        <v>1292</v>
      </c>
      <c r="Q102" s="18">
        <v>38</v>
      </c>
      <c r="R102">
        <v>747453.31200000003</v>
      </c>
      <c r="S102">
        <v>1</v>
      </c>
      <c r="T102">
        <v>0</v>
      </c>
      <c r="U102" t="s">
        <v>75</v>
      </c>
      <c r="V102" t="s">
        <v>75</v>
      </c>
      <c r="W102" t="s">
        <v>77</v>
      </c>
      <c r="X102" t="s">
        <v>95</v>
      </c>
      <c r="Y102" t="s">
        <v>24</v>
      </c>
      <c r="Z102" t="s">
        <v>17</v>
      </c>
      <c r="AA102" t="s">
        <v>17</v>
      </c>
      <c r="AB102">
        <v>0</v>
      </c>
      <c r="AC102">
        <v>0</v>
      </c>
      <c r="AD102">
        <v>0</v>
      </c>
      <c r="AE102">
        <v>0</v>
      </c>
      <c r="AF102" t="s">
        <v>75</v>
      </c>
      <c r="AG102" t="s">
        <v>75</v>
      </c>
      <c r="AH102" t="s">
        <v>75</v>
      </c>
      <c r="AI102" t="s">
        <v>75</v>
      </c>
    </row>
    <row r="103" spans="1:35" x14ac:dyDescent="0.35">
      <c r="A103">
        <v>190</v>
      </c>
      <c r="B103" s="17">
        <v>45923</v>
      </c>
      <c r="C103" t="s">
        <v>87</v>
      </c>
      <c r="D103" t="s">
        <v>75</v>
      </c>
      <c r="E103" t="s">
        <v>20</v>
      </c>
      <c r="F103" t="s">
        <v>16</v>
      </c>
      <c r="G103" t="s">
        <v>75</v>
      </c>
      <c r="H103" t="s">
        <v>119</v>
      </c>
      <c r="I103">
        <v>0</v>
      </c>
      <c r="J103">
        <v>0</v>
      </c>
      <c r="K103" t="s">
        <v>20</v>
      </c>
      <c r="L103" t="s">
        <v>119</v>
      </c>
      <c r="M103" t="s">
        <v>24</v>
      </c>
      <c r="N103">
        <v>6</v>
      </c>
      <c r="O103" s="18">
        <v>4884</v>
      </c>
      <c r="P103" s="18">
        <v>264</v>
      </c>
      <c r="Q103" s="18">
        <v>44</v>
      </c>
      <c r="R103">
        <v>214896</v>
      </c>
      <c r="S103">
        <v>1</v>
      </c>
      <c r="T103">
        <v>0</v>
      </c>
      <c r="U103" t="s">
        <v>75</v>
      </c>
      <c r="V103" t="s">
        <v>75</v>
      </c>
      <c r="W103" t="s">
        <v>77</v>
      </c>
      <c r="X103" t="s">
        <v>119</v>
      </c>
      <c r="Y103" t="s">
        <v>24</v>
      </c>
      <c r="Z103" t="s">
        <v>17</v>
      </c>
      <c r="AA103" t="s">
        <v>17</v>
      </c>
      <c r="AB103">
        <v>0</v>
      </c>
      <c r="AC103">
        <v>0</v>
      </c>
      <c r="AD103">
        <v>0</v>
      </c>
      <c r="AE103">
        <v>0</v>
      </c>
      <c r="AF103" t="s">
        <v>75</v>
      </c>
      <c r="AG103" t="s">
        <v>75</v>
      </c>
      <c r="AH103" t="s">
        <v>75</v>
      </c>
      <c r="AI103" t="s">
        <v>75</v>
      </c>
    </row>
    <row r="104" spans="1:35" x14ac:dyDescent="0.35">
      <c r="A104">
        <v>190</v>
      </c>
      <c r="B104" s="17">
        <v>45923</v>
      </c>
      <c r="C104" t="s">
        <v>87</v>
      </c>
      <c r="D104" t="s">
        <v>75</v>
      </c>
      <c r="E104" t="s">
        <v>20</v>
      </c>
      <c r="F104" t="s">
        <v>16</v>
      </c>
      <c r="G104" t="s">
        <v>75</v>
      </c>
      <c r="H104" t="s">
        <v>80</v>
      </c>
      <c r="I104">
        <v>0.15</v>
      </c>
      <c r="J104">
        <v>6.6</v>
      </c>
      <c r="K104" t="s">
        <v>20</v>
      </c>
      <c r="L104" t="s">
        <v>80</v>
      </c>
      <c r="M104" t="s">
        <v>24</v>
      </c>
      <c r="N104">
        <v>44</v>
      </c>
      <c r="O104" s="18">
        <v>19669.824000000001</v>
      </c>
      <c r="P104" s="18">
        <v>1672</v>
      </c>
      <c r="Q104" s="18">
        <v>38</v>
      </c>
      <c r="R104">
        <v>747453.31200000003</v>
      </c>
      <c r="S104">
        <v>1</v>
      </c>
      <c r="T104">
        <v>0</v>
      </c>
      <c r="U104" t="s">
        <v>75</v>
      </c>
      <c r="V104" t="s">
        <v>75</v>
      </c>
      <c r="W104" t="s">
        <v>77</v>
      </c>
      <c r="X104" t="s">
        <v>101</v>
      </c>
      <c r="Y104" t="s">
        <v>24</v>
      </c>
      <c r="Z104" t="s">
        <v>17</v>
      </c>
      <c r="AA104" t="s">
        <v>17</v>
      </c>
      <c r="AB104">
        <v>0</v>
      </c>
      <c r="AC104">
        <v>0</v>
      </c>
      <c r="AD104">
        <v>0</v>
      </c>
      <c r="AE104">
        <v>0</v>
      </c>
      <c r="AF104" t="s">
        <v>75</v>
      </c>
      <c r="AG104" t="s">
        <v>75</v>
      </c>
      <c r="AH104" t="s">
        <v>75</v>
      </c>
      <c r="AI104" t="s">
        <v>75</v>
      </c>
    </row>
    <row r="105" spans="1:35" x14ac:dyDescent="0.35">
      <c r="A105">
        <v>190</v>
      </c>
      <c r="B105" s="17">
        <v>45923</v>
      </c>
      <c r="C105" t="s">
        <v>87</v>
      </c>
      <c r="D105" t="s">
        <v>75</v>
      </c>
      <c r="E105" t="s">
        <v>20</v>
      </c>
      <c r="F105" t="s">
        <v>16</v>
      </c>
      <c r="G105" t="s">
        <v>75</v>
      </c>
      <c r="H105" t="s">
        <v>82</v>
      </c>
      <c r="I105">
        <v>0</v>
      </c>
      <c r="J105">
        <v>0</v>
      </c>
      <c r="K105" t="s">
        <v>20</v>
      </c>
      <c r="L105" t="s">
        <v>82</v>
      </c>
      <c r="M105" t="s">
        <v>24</v>
      </c>
      <c r="N105">
        <v>3</v>
      </c>
      <c r="O105" s="18">
        <v>19669.824000000001</v>
      </c>
      <c r="P105" s="18">
        <v>114</v>
      </c>
      <c r="Q105" s="18">
        <v>38</v>
      </c>
      <c r="R105">
        <v>747453.31200000003</v>
      </c>
      <c r="S105">
        <v>1</v>
      </c>
      <c r="T105">
        <v>0</v>
      </c>
      <c r="U105" t="s">
        <v>75</v>
      </c>
      <c r="V105" t="s">
        <v>75</v>
      </c>
      <c r="W105" t="s">
        <v>77</v>
      </c>
      <c r="X105" t="s">
        <v>95</v>
      </c>
      <c r="Y105" t="s">
        <v>24</v>
      </c>
      <c r="Z105" t="s">
        <v>17</v>
      </c>
      <c r="AA105" t="s">
        <v>17</v>
      </c>
      <c r="AB105">
        <v>0</v>
      </c>
      <c r="AC105">
        <v>0</v>
      </c>
      <c r="AD105">
        <v>0</v>
      </c>
      <c r="AE105">
        <v>0</v>
      </c>
      <c r="AF105" t="s">
        <v>75</v>
      </c>
      <c r="AG105" t="s">
        <v>75</v>
      </c>
      <c r="AH105" t="s">
        <v>75</v>
      </c>
      <c r="AI105" t="s">
        <v>75</v>
      </c>
    </row>
    <row r="106" spans="1:35" x14ac:dyDescent="0.35">
      <c r="A106">
        <v>190</v>
      </c>
      <c r="B106" s="17">
        <v>45923</v>
      </c>
      <c r="C106" t="s">
        <v>87</v>
      </c>
      <c r="D106" t="s">
        <v>75</v>
      </c>
      <c r="E106" t="s">
        <v>20</v>
      </c>
      <c r="F106" t="s">
        <v>16</v>
      </c>
      <c r="G106" t="s">
        <v>75</v>
      </c>
      <c r="H106" t="s">
        <v>107</v>
      </c>
      <c r="I106">
        <v>0</v>
      </c>
      <c r="J106">
        <v>0</v>
      </c>
      <c r="K106" t="s">
        <v>20</v>
      </c>
      <c r="L106" t="s">
        <v>107</v>
      </c>
      <c r="M106" t="s">
        <v>21</v>
      </c>
      <c r="N106">
        <v>5</v>
      </c>
      <c r="O106" s="18">
        <v>1825</v>
      </c>
      <c r="P106" s="18">
        <v>2275</v>
      </c>
      <c r="Q106" s="18">
        <v>455</v>
      </c>
      <c r="R106">
        <v>830375</v>
      </c>
      <c r="S106">
        <v>1</v>
      </c>
      <c r="T106">
        <v>0</v>
      </c>
      <c r="U106" t="s">
        <v>75</v>
      </c>
      <c r="V106" t="s">
        <v>75</v>
      </c>
      <c r="W106" t="s">
        <v>77</v>
      </c>
      <c r="X106" t="s">
        <v>108</v>
      </c>
      <c r="Y106" t="s">
        <v>21</v>
      </c>
      <c r="Z106" t="s">
        <v>17</v>
      </c>
      <c r="AA106" t="s">
        <v>17</v>
      </c>
      <c r="AB106">
        <v>0</v>
      </c>
      <c r="AC106">
        <v>0</v>
      </c>
      <c r="AD106">
        <v>0</v>
      </c>
      <c r="AE106">
        <v>0</v>
      </c>
      <c r="AF106" t="s">
        <v>75</v>
      </c>
      <c r="AG106" t="s">
        <v>75</v>
      </c>
      <c r="AH106" t="s">
        <v>75</v>
      </c>
      <c r="AI106" t="s">
        <v>75</v>
      </c>
    </row>
    <row r="107" spans="1:35" x14ac:dyDescent="0.35">
      <c r="A107">
        <v>191</v>
      </c>
      <c r="B107" s="17">
        <v>45923</v>
      </c>
      <c r="C107" t="s">
        <v>87</v>
      </c>
      <c r="D107" t="s">
        <v>75</v>
      </c>
      <c r="E107" t="s">
        <v>20</v>
      </c>
      <c r="F107" t="s">
        <v>16</v>
      </c>
      <c r="G107" t="s">
        <v>75</v>
      </c>
      <c r="H107" t="s">
        <v>119</v>
      </c>
      <c r="I107">
        <v>0</v>
      </c>
      <c r="J107">
        <v>0</v>
      </c>
      <c r="K107" t="s">
        <v>20</v>
      </c>
      <c r="L107" t="s">
        <v>119</v>
      </c>
      <c r="M107" t="s">
        <v>24</v>
      </c>
      <c r="N107">
        <v>8</v>
      </c>
      <c r="O107" s="18">
        <v>4884</v>
      </c>
      <c r="P107" s="18">
        <v>352</v>
      </c>
      <c r="Q107" s="18">
        <v>44</v>
      </c>
      <c r="R107">
        <v>214896</v>
      </c>
      <c r="S107">
        <v>1</v>
      </c>
      <c r="T107">
        <v>0</v>
      </c>
      <c r="U107" t="s">
        <v>75</v>
      </c>
      <c r="V107" t="s">
        <v>75</v>
      </c>
      <c r="W107" t="s">
        <v>77</v>
      </c>
      <c r="X107" t="s">
        <v>119</v>
      </c>
      <c r="Y107" t="s">
        <v>24</v>
      </c>
      <c r="Z107" t="s">
        <v>17</v>
      </c>
      <c r="AA107" t="s">
        <v>17</v>
      </c>
      <c r="AB107">
        <v>0</v>
      </c>
      <c r="AC107">
        <v>0</v>
      </c>
      <c r="AD107">
        <v>0</v>
      </c>
      <c r="AE107">
        <v>0</v>
      </c>
      <c r="AF107" t="s">
        <v>87</v>
      </c>
      <c r="AG107" t="s">
        <v>75</v>
      </c>
      <c r="AH107" t="s">
        <v>75</v>
      </c>
      <c r="AI107" t="s">
        <v>75</v>
      </c>
    </row>
    <row r="108" spans="1:35" x14ac:dyDescent="0.35">
      <c r="A108">
        <v>191</v>
      </c>
      <c r="B108" s="17">
        <v>45923</v>
      </c>
      <c r="C108" t="s">
        <v>87</v>
      </c>
      <c r="D108" t="s">
        <v>75</v>
      </c>
      <c r="E108" t="s">
        <v>20</v>
      </c>
      <c r="F108" t="s">
        <v>16</v>
      </c>
      <c r="G108" t="s">
        <v>75</v>
      </c>
      <c r="H108" t="s">
        <v>80</v>
      </c>
      <c r="I108">
        <v>0.15</v>
      </c>
      <c r="J108">
        <v>9.9</v>
      </c>
      <c r="K108" t="s">
        <v>20</v>
      </c>
      <c r="L108" t="s">
        <v>80</v>
      </c>
      <c r="M108" t="s">
        <v>24</v>
      </c>
      <c r="N108">
        <v>66</v>
      </c>
      <c r="O108" s="18">
        <v>19669.824000000001</v>
      </c>
      <c r="P108" s="18">
        <v>2508</v>
      </c>
      <c r="Q108" s="18">
        <v>38</v>
      </c>
      <c r="R108">
        <v>747453.31200000003</v>
      </c>
      <c r="S108">
        <v>1</v>
      </c>
      <c r="T108">
        <v>0</v>
      </c>
      <c r="U108" t="s">
        <v>75</v>
      </c>
      <c r="V108" t="s">
        <v>75</v>
      </c>
      <c r="W108" t="s">
        <v>77</v>
      </c>
      <c r="X108" t="s">
        <v>101</v>
      </c>
      <c r="Y108" t="s">
        <v>24</v>
      </c>
      <c r="Z108" t="s">
        <v>17</v>
      </c>
      <c r="AA108" t="s">
        <v>17</v>
      </c>
      <c r="AB108">
        <v>0</v>
      </c>
      <c r="AC108">
        <v>0</v>
      </c>
      <c r="AD108">
        <v>0</v>
      </c>
      <c r="AE108">
        <v>0</v>
      </c>
      <c r="AF108" t="s">
        <v>87</v>
      </c>
      <c r="AG108" t="s">
        <v>75</v>
      </c>
      <c r="AH108" t="s">
        <v>75</v>
      </c>
      <c r="AI108" t="s">
        <v>75</v>
      </c>
    </row>
    <row r="109" spans="1:35" x14ac:dyDescent="0.35">
      <c r="A109">
        <v>191</v>
      </c>
      <c r="B109" s="17">
        <v>45923</v>
      </c>
      <c r="C109" t="s">
        <v>87</v>
      </c>
      <c r="D109" t="s">
        <v>75</v>
      </c>
      <c r="E109" t="s">
        <v>20</v>
      </c>
      <c r="F109" t="s">
        <v>16</v>
      </c>
      <c r="G109" t="s">
        <v>75</v>
      </c>
      <c r="H109" t="s">
        <v>82</v>
      </c>
      <c r="I109">
        <v>0</v>
      </c>
      <c r="J109">
        <v>0</v>
      </c>
      <c r="K109" t="s">
        <v>20</v>
      </c>
      <c r="L109" t="s">
        <v>82</v>
      </c>
      <c r="M109" t="s">
        <v>24</v>
      </c>
      <c r="N109">
        <v>55</v>
      </c>
      <c r="O109" s="18">
        <v>19669.824000000001</v>
      </c>
      <c r="P109" s="18">
        <v>2090</v>
      </c>
      <c r="Q109" s="18">
        <v>38</v>
      </c>
      <c r="R109">
        <v>747453.31200000003</v>
      </c>
      <c r="S109">
        <v>1</v>
      </c>
      <c r="T109">
        <v>0</v>
      </c>
      <c r="U109" t="s">
        <v>75</v>
      </c>
      <c r="V109" t="s">
        <v>75</v>
      </c>
      <c r="W109" t="s">
        <v>77</v>
      </c>
      <c r="X109" t="s">
        <v>95</v>
      </c>
      <c r="Y109" t="s">
        <v>24</v>
      </c>
      <c r="Z109" t="s">
        <v>17</v>
      </c>
      <c r="AA109" t="s">
        <v>17</v>
      </c>
      <c r="AB109">
        <v>0</v>
      </c>
      <c r="AC109">
        <v>0</v>
      </c>
      <c r="AD109">
        <v>0</v>
      </c>
      <c r="AE109">
        <v>0</v>
      </c>
      <c r="AF109" t="s">
        <v>87</v>
      </c>
      <c r="AG109" t="s">
        <v>125</v>
      </c>
      <c r="AH109" t="s">
        <v>121</v>
      </c>
      <c r="AI109" t="s">
        <v>124</v>
      </c>
    </row>
    <row r="110" spans="1:35" x14ac:dyDescent="0.35">
      <c r="A110">
        <v>191</v>
      </c>
      <c r="B110" s="17">
        <v>45923</v>
      </c>
      <c r="C110" t="s">
        <v>87</v>
      </c>
      <c r="D110" t="s">
        <v>75</v>
      </c>
      <c r="E110" t="s">
        <v>20</v>
      </c>
      <c r="F110" t="s">
        <v>16</v>
      </c>
      <c r="G110" t="s">
        <v>75</v>
      </c>
      <c r="H110" t="s">
        <v>107</v>
      </c>
      <c r="I110">
        <v>0</v>
      </c>
      <c r="J110">
        <v>0</v>
      </c>
      <c r="K110" t="s">
        <v>20</v>
      </c>
      <c r="L110" t="s">
        <v>107</v>
      </c>
      <c r="M110" t="s">
        <v>21</v>
      </c>
      <c r="N110">
        <v>78</v>
      </c>
      <c r="O110" s="18">
        <v>1825</v>
      </c>
      <c r="P110" s="18">
        <v>35490</v>
      </c>
      <c r="Q110" s="18">
        <v>455</v>
      </c>
      <c r="R110">
        <v>830375</v>
      </c>
      <c r="S110">
        <v>1</v>
      </c>
      <c r="T110">
        <v>0</v>
      </c>
      <c r="U110" t="s">
        <v>75</v>
      </c>
      <c r="V110" t="s">
        <v>75</v>
      </c>
      <c r="W110" t="s">
        <v>77</v>
      </c>
      <c r="X110" t="s">
        <v>108</v>
      </c>
      <c r="Y110" t="s">
        <v>21</v>
      </c>
      <c r="Z110" t="s">
        <v>17</v>
      </c>
      <c r="AA110" t="s">
        <v>17</v>
      </c>
      <c r="AB110">
        <v>0</v>
      </c>
      <c r="AC110">
        <v>0</v>
      </c>
      <c r="AD110">
        <v>0</v>
      </c>
      <c r="AE110">
        <v>0</v>
      </c>
      <c r="AF110" t="s">
        <v>87</v>
      </c>
      <c r="AG110" t="s">
        <v>75</v>
      </c>
      <c r="AH110" t="s">
        <v>75</v>
      </c>
      <c r="AI110" t="s">
        <v>75</v>
      </c>
    </row>
    <row r="111" spans="1:35" x14ac:dyDescent="0.35">
      <c r="A111">
        <v>193</v>
      </c>
      <c r="B111" s="17">
        <v>45924</v>
      </c>
      <c r="C111" t="s">
        <v>87</v>
      </c>
      <c r="D111" t="s">
        <v>75</v>
      </c>
      <c r="E111" t="s">
        <v>20</v>
      </c>
      <c r="F111" t="s">
        <v>16</v>
      </c>
      <c r="G111" t="s">
        <v>75</v>
      </c>
      <c r="H111" t="s">
        <v>80</v>
      </c>
      <c r="I111">
        <v>0.15</v>
      </c>
      <c r="J111">
        <v>30</v>
      </c>
      <c r="K111" t="s">
        <v>20</v>
      </c>
      <c r="L111" t="s">
        <v>80</v>
      </c>
      <c r="M111" t="s">
        <v>24</v>
      </c>
      <c r="N111">
        <v>200</v>
      </c>
      <c r="O111" s="18">
        <v>19669.824000000001</v>
      </c>
      <c r="P111" s="18">
        <v>7600</v>
      </c>
      <c r="Q111" s="18">
        <v>38</v>
      </c>
      <c r="R111">
        <v>747453.31200000003</v>
      </c>
      <c r="S111">
        <v>1</v>
      </c>
      <c r="T111">
        <v>0</v>
      </c>
      <c r="U111" t="s">
        <v>75</v>
      </c>
      <c r="V111" t="s">
        <v>75</v>
      </c>
      <c r="W111" t="s">
        <v>77</v>
      </c>
      <c r="X111" t="s">
        <v>101</v>
      </c>
      <c r="Y111" t="s">
        <v>24</v>
      </c>
      <c r="Z111" t="s">
        <v>17</v>
      </c>
      <c r="AA111" t="s">
        <v>17</v>
      </c>
      <c r="AB111">
        <v>0</v>
      </c>
      <c r="AC111">
        <v>0</v>
      </c>
      <c r="AD111">
        <v>0</v>
      </c>
      <c r="AE111">
        <v>0</v>
      </c>
      <c r="AF111" t="s">
        <v>87</v>
      </c>
      <c r="AG111" t="s">
        <v>75</v>
      </c>
      <c r="AH111" t="s">
        <v>75</v>
      </c>
      <c r="AI111" t="s">
        <v>75</v>
      </c>
    </row>
    <row r="112" spans="1:35" x14ac:dyDescent="0.35">
      <c r="A112">
        <v>193</v>
      </c>
      <c r="B112" s="17">
        <v>45924</v>
      </c>
      <c r="C112" t="s">
        <v>87</v>
      </c>
      <c r="D112" t="s">
        <v>75</v>
      </c>
      <c r="E112" t="s">
        <v>20</v>
      </c>
      <c r="F112" t="s">
        <v>16</v>
      </c>
      <c r="G112" t="s">
        <v>75</v>
      </c>
      <c r="H112" t="s">
        <v>82</v>
      </c>
      <c r="I112">
        <v>0</v>
      </c>
      <c r="J112">
        <v>0</v>
      </c>
      <c r="K112" t="s">
        <v>20</v>
      </c>
      <c r="L112" t="s">
        <v>82</v>
      </c>
      <c r="M112" t="s">
        <v>24</v>
      </c>
      <c r="N112">
        <v>250</v>
      </c>
      <c r="O112" s="18">
        <v>19669.824000000001</v>
      </c>
      <c r="P112" s="18">
        <v>9500</v>
      </c>
      <c r="Q112" s="18">
        <v>38</v>
      </c>
      <c r="R112">
        <v>747453.31200000003</v>
      </c>
      <c r="S112">
        <v>1</v>
      </c>
      <c r="T112">
        <v>0</v>
      </c>
      <c r="U112" t="s">
        <v>75</v>
      </c>
      <c r="V112" t="s">
        <v>75</v>
      </c>
      <c r="W112" t="s">
        <v>77</v>
      </c>
      <c r="X112" t="s">
        <v>95</v>
      </c>
      <c r="Y112" t="s">
        <v>24</v>
      </c>
      <c r="Z112" t="s">
        <v>17</v>
      </c>
      <c r="AA112" t="s">
        <v>17</v>
      </c>
      <c r="AB112">
        <v>0</v>
      </c>
      <c r="AC112">
        <v>0</v>
      </c>
      <c r="AD112">
        <v>0</v>
      </c>
      <c r="AE112">
        <v>0</v>
      </c>
      <c r="AF112" t="s">
        <v>87</v>
      </c>
      <c r="AG112" t="s">
        <v>126</v>
      </c>
      <c r="AH112" t="s">
        <v>121</v>
      </c>
      <c r="AI112" t="s">
        <v>124</v>
      </c>
    </row>
    <row r="113" spans="1:35" x14ac:dyDescent="0.35">
      <c r="A113">
        <v>193</v>
      </c>
      <c r="B113" s="17">
        <v>45924</v>
      </c>
      <c r="C113" t="s">
        <v>87</v>
      </c>
      <c r="D113" t="s">
        <v>75</v>
      </c>
      <c r="E113" t="s">
        <v>20</v>
      </c>
      <c r="F113" t="s">
        <v>16</v>
      </c>
      <c r="G113" t="s">
        <v>75</v>
      </c>
      <c r="H113" t="s">
        <v>107</v>
      </c>
      <c r="I113">
        <v>0</v>
      </c>
      <c r="J113">
        <v>0</v>
      </c>
      <c r="K113" t="s">
        <v>20</v>
      </c>
      <c r="L113" t="s">
        <v>107</v>
      </c>
      <c r="M113" t="s">
        <v>21</v>
      </c>
      <c r="N113">
        <v>89</v>
      </c>
      <c r="O113" s="18">
        <v>1825</v>
      </c>
      <c r="P113" s="18">
        <v>40495</v>
      </c>
      <c r="Q113" s="18">
        <v>455</v>
      </c>
      <c r="R113">
        <v>830375</v>
      </c>
      <c r="S113">
        <v>1</v>
      </c>
      <c r="T113">
        <v>0</v>
      </c>
      <c r="U113" t="s">
        <v>75</v>
      </c>
      <c r="V113" t="s">
        <v>75</v>
      </c>
      <c r="W113" t="s">
        <v>77</v>
      </c>
      <c r="X113" t="s">
        <v>108</v>
      </c>
      <c r="Y113" t="s">
        <v>21</v>
      </c>
      <c r="Z113" t="s">
        <v>17</v>
      </c>
      <c r="AA113" t="s">
        <v>17</v>
      </c>
      <c r="AB113">
        <v>0</v>
      </c>
      <c r="AC113">
        <v>0</v>
      </c>
      <c r="AD113">
        <v>0</v>
      </c>
      <c r="AE113">
        <v>0</v>
      </c>
      <c r="AF113" t="s">
        <v>87</v>
      </c>
      <c r="AG113" t="s">
        <v>75</v>
      </c>
      <c r="AH113" t="s">
        <v>75</v>
      </c>
      <c r="AI113" t="s">
        <v>75</v>
      </c>
    </row>
    <row r="114" spans="1:35" x14ac:dyDescent="0.35">
      <c r="A114">
        <v>194</v>
      </c>
      <c r="B114" s="17">
        <v>45924</v>
      </c>
      <c r="C114" t="s">
        <v>87</v>
      </c>
      <c r="D114" t="s">
        <v>75</v>
      </c>
      <c r="E114" t="s">
        <v>20</v>
      </c>
      <c r="F114" t="s">
        <v>16</v>
      </c>
      <c r="G114" t="s">
        <v>75</v>
      </c>
      <c r="H114" t="s">
        <v>80</v>
      </c>
      <c r="I114">
        <v>0.15</v>
      </c>
      <c r="J114">
        <v>2451.8735999999999</v>
      </c>
      <c r="K114" t="s">
        <v>20</v>
      </c>
      <c r="L114" t="s">
        <v>80</v>
      </c>
      <c r="M114" t="s">
        <v>24</v>
      </c>
      <c r="N114">
        <v>16345.824000000001</v>
      </c>
      <c r="O114" s="18">
        <v>19669.824000000001</v>
      </c>
      <c r="P114" s="18">
        <v>621141.31200000003</v>
      </c>
      <c r="Q114" s="18">
        <v>38</v>
      </c>
      <c r="R114">
        <v>747453.31200000003</v>
      </c>
      <c r="S114">
        <v>1</v>
      </c>
      <c r="T114">
        <v>0</v>
      </c>
      <c r="U114" t="s">
        <v>75</v>
      </c>
      <c r="V114" t="s">
        <v>75</v>
      </c>
      <c r="W114" t="s">
        <v>77</v>
      </c>
      <c r="X114" t="s">
        <v>101</v>
      </c>
      <c r="Y114" t="s">
        <v>24</v>
      </c>
      <c r="Z114" t="s">
        <v>17</v>
      </c>
      <c r="AA114" t="s">
        <v>17</v>
      </c>
      <c r="AB114">
        <v>0</v>
      </c>
      <c r="AC114">
        <v>0</v>
      </c>
      <c r="AD114">
        <v>0</v>
      </c>
      <c r="AE114">
        <v>0</v>
      </c>
      <c r="AF114" t="s">
        <v>75</v>
      </c>
      <c r="AG114" t="s">
        <v>75</v>
      </c>
      <c r="AH114" t="s">
        <v>75</v>
      </c>
      <c r="AI114" t="s">
        <v>75</v>
      </c>
    </row>
    <row r="115" spans="1:35" x14ac:dyDescent="0.35">
      <c r="A115">
        <v>194</v>
      </c>
      <c r="B115" s="17">
        <v>45924</v>
      </c>
      <c r="C115" t="s">
        <v>87</v>
      </c>
      <c r="D115" t="s">
        <v>75</v>
      </c>
      <c r="E115" t="s">
        <v>20</v>
      </c>
      <c r="F115" t="s">
        <v>16</v>
      </c>
      <c r="G115" t="s">
        <v>75</v>
      </c>
      <c r="H115" t="s">
        <v>82</v>
      </c>
      <c r="I115">
        <v>0</v>
      </c>
      <c r="J115">
        <v>0</v>
      </c>
      <c r="K115" t="s">
        <v>20</v>
      </c>
      <c r="L115" t="s">
        <v>82</v>
      </c>
      <c r="M115" t="s">
        <v>24</v>
      </c>
      <c r="N115">
        <v>9654.8240000000005</v>
      </c>
      <c r="O115" s="18">
        <v>19669.824000000001</v>
      </c>
      <c r="P115" s="18">
        <v>366883.31200000003</v>
      </c>
      <c r="Q115" s="18">
        <v>38</v>
      </c>
      <c r="R115">
        <v>747453.31200000003</v>
      </c>
      <c r="S115">
        <v>1</v>
      </c>
      <c r="T115">
        <v>0</v>
      </c>
      <c r="U115" t="s">
        <v>75</v>
      </c>
      <c r="V115" t="s">
        <v>75</v>
      </c>
      <c r="W115" t="s">
        <v>77</v>
      </c>
      <c r="X115" t="s">
        <v>95</v>
      </c>
      <c r="Y115" t="s">
        <v>24</v>
      </c>
      <c r="Z115" t="s">
        <v>17</v>
      </c>
      <c r="AA115" t="s">
        <v>17</v>
      </c>
      <c r="AB115">
        <v>0</v>
      </c>
      <c r="AC115">
        <v>0</v>
      </c>
      <c r="AD115">
        <v>0</v>
      </c>
      <c r="AE115">
        <v>0</v>
      </c>
      <c r="AF115" t="s">
        <v>75</v>
      </c>
      <c r="AG115" t="s">
        <v>75</v>
      </c>
      <c r="AH115" t="s">
        <v>75</v>
      </c>
      <c r="AI115" t="s">
        <v>75</v>
      </c>
    </row>
    <row r="116" spans="1:35" x14ac:dyDescent="0.35">
      <c r="A116">
        <v>195</v>
      </c>
      <c r="B116" s="17">
        <v>45937</v>
      </c>
      <c r="C116" t="s">
        <v>87</v>
      </c>
      <c r="D116" t="s">
        <v>75</v>
      </c>
      <c r="E116" t="s">
        <v>20</v>
      </c>
      <c r="F116" t="s">
        <v>16</v>
      </c>
      <c r="G116" t="s">
        <v>75</v>
      </c>
      <c r="H116" t="s">
        <v>107</v>
      </c>
      <c r="I116">
        <v>0</v>
      </c>
      <c r="J116">
        <v>0</v>
      </c>
      <c r="K116" t="s">
        <v>20</v>
      </c>
      <c r="L116" t="s">
        <v>107</v>
      </c>
      <c r="M116" t="s">
        <v>21</v>
      </c>
      <c r="N116">
        <v>12</v>
      </c>
      <c r="O116" s="18">
        <v>1825</v>
      </c>
      <c r="P116" s="18">
        <v>5460</v>
      </c>
      <c r="Q116" s="18">
        <v>455</v>
      </c>
      <c r="R116">
        <v>830375</v>
      </c>
      <c r="S116">
        <v>1</v>
      </c>
      <c r="T116">
        <v>0</v>
      </c>
      <c r="U116" t="s">
        <v>75</v>
      </c>
      <c r="V116" t="s">
        <v>75</v>
      </c>
      <c r="W116" t="s">
        <v>77</v>
      </c>
      <c r="X116" t="s">
        <v>108</v>
      </c>
      <c r="Y116" t="s">
        <v>21</v>
      </c>
      <c r="Z116" t="s">
        <v>17</v>
      </c>
      <c r="AA116" t="s">
        <v>17</v>
      </c>
      <c r="AB116">
        <v>0</v>
      </c>
      <c r="AC116">
        <v>0</v>
      </c>
      <c r="AD116">
        <v>0</v>
      </c>
      <c r="AE116">
        <v>0</v>
      </c>
      <c r="AF116" t="s">
        <v>87</v>
      </c>
      <c r="AG116" t="s">
        <v>75</v>
      </c>
      <c r="AH116" t="s">
        <v>75</v>
      </c>
      <c r="AI116" t="s">
        <v>75</v>
      </c>
    </row>
    <row r="117" spans="1:35" x14ac:dyDescent="0.35">
      <c r="A117">
        <v>201</v>
      </c>
      <c r="B117" s="17">
        <v>45950</v>
      </c>
      <c r="C117" t="s">
        <v>87</v>
      </c>
      <c r="D117" t="s">
        <v>75</v>
      </c>
      <c r="E117" t="s">
        <v>20</v>
      </c>
      <c r="F117" t="s">
        <v>16</v>
      </c>
      <c r="G117" t="s">
        <v>75</v>
      </c>
      <c r="H117" t="s">
        <v>76</v>
      </c>
      <c r="I117">
        <v>0</v>
      </c>
      <c r="J117">
        <v>0</v>
      </c>
      <c r="K117" t="s">
        <v>20</v>
      </c>
      <c r="L117" t="s">
        <v>76</v>
      </c>
      <c r="M117" t="s">
        <v>21</v>
      </c>
      <c r="N117">
        <v>45</v>
      </c>
      <c r="O117" s="18">
        <v>192</v>
      </c>
      <c r="P117" s="18">
        <v>7425</v>
      </c>
      <c r="Q117" s="18">
        <v>165</v>
      </c>
      <c r="R117">
        <v>31680</v>
      </c>
      <c r="S117">
        <v>1</v>
      </c>
      <c r="T117">
        <v>0</v>
      </c>
      <c r="U117" t="s">
        <v>75</v>
      </c>
      <c r="V117" t="s">
        <v>75</v>
      </c>
      <c r="W117" t="s">
        <v>77</v>
      </c>
      <c r="X117" t="s">
        <v>97</v>
      </c>
      <c r="Y117" t="s">
        <v>21</v>
      </c>
      <c r="Z117" t="s">
        <v>17</v>
      </c>
      <c r="AA117" t="s">
        <v>17</v>
      </c>
      <c r="AB117">
        <v>0</v>
      </c>
      <c r="AC117">
        <v>0</v>
      </c>
      <c r="AD117">
        <v>0</v>
      </c>
      <c r="AE117">
        <v>0</v>
      </c>
      <c r="AF117" t="s">
        <v>75</v>
      </c>
      <c r="AG117" t="s">
        <v>75</v>
      </c>
      <c r="AH117" t="s">
        <v>75</v>
      </c>
      <c r="AI117" t="s">
        <v>75</v>
      </c>
    </row>
    <row r="118" spans="1:35" x14ac:dyDescent="0.35">
      <c r="A118">
        <v>204</v>
      </c>
      <c r="B118" s="17">
        <v>45961</v>
      </c>
      <c r="C118" t="s">
        <v>87</v>
      </c>
      <c r="D118" t="s">
        <v>75</v>
      </c>
      <c r="E118" t="s">
        <v>84</v>
      </c>
      <c r="F118" t="s">
        <v>16</v>
      </c>
      <c r="G118" t="s">
        <v>75</v>
      </c>
      <c r="H118" t="s">
        <v>76</v>
      </c>
      <c r="I118">
        <v>0</v>
      </c>
      <c r="J118">
        <v>0</v>
      </c>
      <c r="K118" t="s">
        <v>20</v>
      </c>
      <c r="L118" t="s">
        <v>76</v>
      </c>
      <c r="M118" t="s">
        <v>21</v>
      </c>
      <c r="N118">
        <v>22</v>
      </c>
      <c r="O118" s="18">
        <v>192</v>
      </c>
      <c r="P118" s="18">
        <v>3630</v>
      </c>
      <c r="Q118" s="18">
        <v>165</v>
      </c>
      <c r="R118">
        <v>31680</v>
      </c>
      <c r="S118">
        <v>1</v>
      </c>
      <c r="T118">
        <v>13</v>
      </c>
      <c r="U118" t="s">
        <v>75</v>
      </c>
      <c r="V118" t="s">
        <v>75</v>
      </c>
      <c r="W118" t="s">
        <v>77</v>
      </c>
      <c r="X118" t="s">
        <v>97</v>
      </c>
      <c r="Y118" t="s">
        <v>21</v>
      </c>
      <c r="Z118" t="s">
        <v>17</v>
      </c>
      <c r="AA118" t="s">
        <v>17</v>
      </c>
      <c r="AB118">
        <v>0</v>
      </c>
      <c r="AC118">
        <v>0</v>
      </c>
      <c r="AD118">
        <v>0</v>
      </c>
      <c r="AE118">
        <v>0</v>
      </c>
      <c r="AF118" t="s">
        <v>75</v>
      </c>
      <c r="AG118" t="s">
        <v>127</v>
      </c>
      <c r="AH118" t="s">
        <v>75</v>
      </c>
      <c r="AI118" t="s">
        <v>75</v>
      </c>
    </row>
    <row r="119" spans="1:35" x14ac:dyDescent="0.35">
      <c r="A119">
        <v>210</v>
      </c>
      <c r="B119" s="17">
        <v>45967</v>
      </c>
      <c r="C119" t="s">
        <v>87</v>
      </c>
      <c r="D119" t="s">
        <v>75</v>
      </c>
      <c r="E119" t="s">
        <v>20</v>
      </c>
      <c r="F119" t="s">
        <v>16</v>
      </c>
      <c r="G119" t="s">
        <v>75</v>
      </c>
      <c r="H119" t="s">
        <v>119</v>
      </c>
      <c r="I119">
        <v>0</v>
      </c>
      <c r="J119">
        <v>0</v>
      </c>
      <c r="K119" t="s">
        <v>20</v>
      </c>
      <c r="L119" t="s">
        <v>119</v>
      </c>
      <c r="M119" t="s">
        <v>24</v>
      </c>
      <c r="N119">
        <v>12</v>
      </c>
      <c r="O119" s="18">
        <v>4884</v>
      </c>
      <c r="P119" s="18">
        <v>528</v>
      </c>
      <c r="Q119" s="18">
        <v>44</v>
      </c>
      <c r="R119">
        <v>214896</v>
      </c>
      <c r="S119">
        <v>1</v>
      </c>
      <c r="T119">
        <v>0</v>
      </c>
      <c r="U119" t="s">
        <v>75</v>
      </c>
      <c r="V119" t="s">
        <v>75</v>
      </c>
      <c r="W119" t="s">
        <v>77</v>
      </c>
      <c r="X119" t="s">
        <v>119</v>
      </c>
      <c r="Y119" t="s">
        <v>24</v>
      </c>
      <c r="Z119" t="s">
        <v>17</v>
      </c>
      <c r="AA119" t="s">
        <v>17</v>
      </c>
      <c r="AB119">
        <v>0</v>
      </c>
      <c r="AC119">
        <v>0</v>
      </c>
      <c r="AD119">
        <v>0</v>
      </c>
      <c r="AE119">
        <v>0</v>
      </c>
      <c r="AF119" t="s">
        <v>75</v>
      </c>
      <c r="AG119" t="s">
        <v>75</v>
      </c>
      <c r="AH119" t="s">
        <v>75</v>
      </c>
      <c r="AI119" t="s">
        <v>75</v>
      </c>
    </row>
    <row r="120" spans="1:35" x14ac:dyDescent="0.35">
      <c r="A120">
        <v>210</v>
      </c>
      <c r="B120" s="17">
        <v>45967</v>
      </c>
      <c r="C120" t="s">
        <v>87</v>
      </c>
      <c r="D120" t="s">
        <v>75</v>
      </c>
      <c r="E120" t="s">
        <v>20</v>
      </c>
      <c r="F120" t="s">
        <v>16</v>
      </c>
      <c r="G120" t="s">
        <v>75</v>
      </c>
      <c r="H120" t="s">
        <v>107</v>
      </c>
      <c r="I120">
        <v>0</v>
      </c>
      <c r="J120">
        <v>0</v>
      </c>
      <c r="K120" t="s">
        <v>20</v>
      </c>
      <c r="L120" t="s">
        <v>107</v>
      </c>
      <c r="M120" t="s">
        <v>21</v>
      </c>
      <c r="N120">
        <v>34</v>
      </c>
      <c r="O120" s="18">
        <v>1825</v>
      </c>
      <c r="P120" s="18">
        <v>15470</v>
      </c>
      <c r="Q120" s="18">
        <v>455</v>
      </c>
      <c r="R120">
        <v>830375</v>
      </c>
      <c r="S120">
        <v>1</v>
      </c>
      <c r="T120">
        <v>0</v>
      </c>
      <c r="U120" t="s">
        <v>75</v>
      </c>
      <c r="V120" t="s">
        <v>75</v>
      </c>
      <c r="W120" t="s">
        <v>77</v>
      </c>
      <c r="X120" t="s">
        <v>108</v>
      </c>
      <c r="Y120" t="s">
        <v>21</v>
      </c>
      <c r="Z120" t="s">
        <v>17</v>
      </c>
      <c r="AA120" t="s">
        <v>17</v>
      </c>
      <c r="AB120">
        <v>0</v>
      </c>
      <c r="AC120">
        <v>0</v>
      </c>
      <c r="AD120">
        <v>0</v>
      </c>
      <c r="AE120">
        <v>0</v>
      </c>
      <c r="AF120" t="s">
        <v>75</v>
      </c>
      <c r="AG120" t="s">
        <v>75</v>
      </c>
      <c r="AH120" t="s">
        <v>75</v>
      </c>
      <c r="AI120" t="s">
        <v>75</v>
      </c>
    </row>
    <row r="121" spans="1:35" x14ac:dyDescent="0.35">
      <c r="A121">
        <v>206</v>
      </c>
      <c r="B121" s="17">
        <v>45967</v>
      </c>
      <c r="C121" t="s">
        <v>87</v>
      </c>
      <c r="D121" t="s">
        <v>75</v>
      </c>
      <c r="E121" t="s">
        <v>128</v>
      </c>
      <c r="F121" t="s">
        <v>16</v>
      </c>
      <c r="G121" t="s">
        <v>75</v>
      </c>
      <c r="H121" t="s">
        <v>80</v>
      </c>
      <c r="I121">
        <v>0.15</v>
      </c>
      <c r="J121">
        <v>18</v>
      </c>
      <c r="K121" t="s">
        <v>20</v>
      </c>
      <c r="L121" t="s">
        <v>80</v>
      </c>
      <c r="M121" t="s">
        <v>24</v>
      </c>
      <c r="N121">
        <v>120</v>
      </c>
      <c r="O121" s="18">
        <v>19669.824000000001</v>
      </c>
      <c r="P121" s="18">
        <v>4560</v>
      </c>
      <c r="Q121" s="18">
        <v>38</v>
      </c>
      <c r="R121">
        <v>747453.31200000003</v>
      </c>
      <c r="S121">
        <v>1</v>
      </c>
      <c r="T121">
        <v>126</v>
      </c>
      <c r="U121" t="s">
        <v>75</v>
      </c>
      <c r="V121" t="s">
        <v>75</v>
      </c>
      <c r="W121" t="s">
        <v>77</v>
      </c>
      <c r="X121" t="s">
        <v>101</v>
      </c>
      <c r="Y121" t="s">
        <v>24</v>
      </c>
      <c r="Z121" t="s">
        <v>17</v>
      </c>
      <c r="AA121" t="s">
        <v>17</v>
      </c>
      <c r="AB121">
        <v>0</v>
      </c>
      <c r="AC121">
        <v>0</v>
      </c>
      <c r="AD121">
        <v>0</v>
      </c>
      <c r="AE121">
        <v>0</v>
      </c>
      <c r="AF121" t="s">
        <v>75</v>
      </c>
      <c r="AG121" t="s">
        <v>75</v>
      </c>
      <c r="AH121" t="s">
        <v>75</v>
      </c>
      <c r="AI121" t="s">
        <v>75</v>
      </c>
    </row>
    <row r="122" spans="1:35" x14ac:dyDescent="0.35">
      <c r="A122">
        <v>209</v>
      </c>
      <c r="B122" s="17">
        <v>45967</v>
      </c>
      <c r="C122" t="s">
        <v>87</v>
      </c>
      <c r="D122" t="s">
        <v>75</v>
      </c>
      <c r="E122" t="s">
        <v>20</v>
      </c>
      <c r="F122" t="s">
        <v>16</v>
      </c>
      <c r="G122" t="s">
        <v>75</v>
      </c>
      <c r="H122" t="s">
        <v>119</v>
      </c>
      <c r="I122">
        <v>0</v>
      </c>
      <c r="J122">
        <v>0</v>
      </c>
      <c r="K122" t="s">
        <v>20</v>
      </c>
      <c r="L122" t="s">
        <v>119</v>
      </c>
      <c r="M122" t="s">
        <v>24</v>
      </c>
      <c r="N122">
        <v>12</v>
      </c>
      <c r="O122" s="18">
        <v>4884</v>
      </c>
      <c r="P122" s="18">
        <v>528</v>
      </c>
      <c r="Q122" s="18">
        <v>44</v>
      </c>
      <c r="R122">
        <v>214896</v>
      </c>
      <c r="S122">
        <v>1</v>
      </c>
      <c r="T122">
        <v>0</v>
      </c>
      <c r="U122" t="s">
        <v>75</v>
      </c>
      <c r="V122" t="s">
        <v>75</v>
      </c>
      <c r="W122" t="s">
        <v>77</v>
      </c>
      <c r="X122" t="s">
        <v>119</v>
      </c>
      <c r="Y122" t="s">
        <v>24</v>
      </c>
      <c r="Z122" t="s">
        <v>17</v>
      </c>
      <c r="AA122" t="s">
        <v>17</v>
      </c>
      <c r="AB122">
        <v>0</v>
      </c>
      <c r="AC122">
        <v>0</v>
      </c>
      <c r="AD122">
        <v>0</v>
      </c>
      <c r="AE122">
        <v>0</v>
      </c>
      <c r="AF122" t="s">
        <v>75</v>
      </c>
      <c r="AG122" t="s">
        <v>75</v>
      </c>
      <c r="AH122" t="s">
        <v>75</v>
      </c>
      <c r="AI122" t="s">
        <v>75</v>
      </c>
    </row>
    <row r="123" spans="1:35" x14ac:dyDescent="0.35">
      <c r="A123">
        <v>211</v>
      </c>
      <c r="B123" s="17">
        <v>45968</v>
      </c>
      <c r="C123" t="s">
        <v>87</v>
      </c>
      <c r="D123" t="s">
        <v>75</v>
      </c>
      <c r="E123" t="s">
        <v>128</v>
      </c>
      <c r="F123" t="s">
        <v>16</v>
      </c>
      <c r="G123" t="s">
        <v>75</v>
      </c>
      <c r="H123" t="s">
        <v>107</v>
      </c>
      <c r="I123">
        <v>0</v>
      </c>
      <c r="J123">
        <v>0</v>
      </c>
      <c r="K123" t="s">
        <v>20</v>
      </c>
      <c r="L123" t="s">
        <v>107</v>
      </c>
      <c r="M123" t="s">
        <v>21</v>
      </c>
      <c r="N123">
        <v>12</v>
      </c>
      <c r="O123" s="18">
        <v>1825</v>
      </c>
      <c r="P123" s="18">
        <v>5460</v>
      </c>
      <c r="Q123" s="18">
        <v>455</v>
      </c>
      <c r="R123">
        <v>830375</v>
      </c>
      <c r="S123">
        <v>1</v>
      </c>
      <c r="T123">
        <v>12</v>
      </c>
      <c r="U123" t="s">
        <v>75</v>
      </c>
      <c r="V123" t="s">
        <v>129</v>
      </c>
      <c r="W123" t="s">
        <v>77</v>
      </c>
      <c r="X123" t="s">
        <v>108</v>
      </c>
      <c r="Y123" t="s">
        <v>21</v>
      </c>
      <c r="Z123" t="s">
        <v>17</v>
      </c>
      <c r="AA123" t="s">
        <v>17</v>
      </c>
      <c r="AB123">
        <v>0</v>
      </c>
      <c r="AC123">
        <v>0</v>
      </c>
      <c r="AD123">
        <v>0</v>
      </c>
      <c r="AE123">
        <v>0</v>
      </c>
      <c r="AF123" t="s">
        <v>75</v>
      </c>
      <c r="AG123" t="s">
        <v>75</v>
      </c>
      <c r="AH123" t="s">
        <v>75</v>
      </c>
      <c r="AI123" t="s">
        <v>75</v>
      </c>
    </row>
  </sheetData>
  <hyperlinks>
    <hyperlink ref="AH68" r:id="rId1" xr:uid="{00000000-0004-0000-0100-000000000000}"/>
    <hyperlink ref="AH75" r:id="rId2" xr:uid="{00000000-0004-0000-0100-000001000000}"/>
    <hyperlink ref="AH81" r:id="rId3" xr:uid="{00000000-0004-0000-0100-000002000000}"/>
    <hyperlink ref="AI81" r:id="rId4" xr:uid="{00000000-0004-0000-0100-000003000000}"/>
    <hyperlink ref="AH109" r:id="rId5" xr:uid="{00000000-0004-0000-0100-000004000000}"/>
    <hyperlink ref="AI109" r:id="rId6" xr:uid="{00000000-0004-0000-0100-000005000000}"/>
    <hyperlink ref="AH112" r:id="rId7" xr:uid="{00000000-0004-0000-0100-000006000000}"/>
    <hyperlink ref="AI112" r:id="rId8" xr:uid="{00000000-0004-0000-0100-000007000000}"/>
  </hyperlinks>
  <pageMargins left="0.7" right="0.7" top="0.75" bottom="0.75" header="0.3" footer="0.3"/>
  <pageSetup orientation="portrait" useFirstPageNumber="1" horizontalDpi="4294967295" verticalDpi="4294967295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3"/>
  <sheetViews>
    <sheetView workbookViewId="0"/>
  </sheetViews>
  <sheetFormatPr defaultRowHeight="14.5" x14ac:dyDescent="0.35"/>
  <cols>
    <col min="1" max="18" width="20" customWidth="1"/>
  </cols>
  <sheetData>
    <row r="1" spans="1:18" ht="23.5" x14ac:dyDescent="0.55000000000000004">
      <c r="A1" t="s">
        <v>39</v>
      </c>
      <c r="B1" t="s">
        <v>40</v>
      </c>
      <c r="C1" s="16" t="s">
        <v>130</v>
      </c>
    </row>
    <row r="2" spans="1:18" ht="30" x14ac:dyDescent="0.35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65</v>
      </c>
      <c r="G2" s="1" t="s">
        <v>131</v>
      </c>
      <c r="H2" s="1" t="s">
        <v>132</v>
      </c>
      <c r="I2" s="1" t="s">
        <v>133</v>
      </c>
      <c r="J2" s="1" t="s">
        <v>134</v>
      </c>
      <c r="K2" s="1" t="s">
        <v>58</v>
      </c>
      <c r="L2" s="1" t="s">
        <v>66</v>
      </c>
      <c r="M2" s="1" t="s">
        <v>67</v>
      </c>
      <c r="N2" s="1" t="s">
        <v>68</v>
      </c>
      <c r="O2" s="1" t="s">
        <v>69</v>
      </c>
      <c r="P2" s="1" t="s">
        <v>70</v>
      </c>
      <c r="Q2" s="1" t="s">
        <v>60</v>
      </c>
      <c r="R2" s="1" t="s">
        <v>61</v>
      </c>
    </row>
    <row r="3" spans="1:18" ht="36.4" customHeight="1" x14ac:dyDescent="0.35">
      <c r="A3" s="6">
        <v>1</v>
      </c>
      <c r="B3" s="20">
        <v>45203</v>
      </c>
      <c r="C3" s="6" t="s">
        <v>74</v>
      </c>
      <c r="D3" s="6" t="s">
        <v>75</v>
      </c>
      <c r="E3" s="6" t="s">
        <v>20</v>
      </c>
      <c r="F3" s="6" t="s">
        <v>78</v>
      </c>
      <c r="G3" s="6" t="s">
        <v>76</v>
      </c>
      <c r="H3" s="6" t="s">
        <v>21</v>
      </c>
      <c r="I3" s="6">
        <v>4</v>
      </c>
      <c r="J3" s="6">
        <v>192</v>
      </c>
      <c r="K3" s="6">
        <v>1</v>
      </c>
      <c r="L3" s="6" t="s">
        <v>135</v>
      </c>
      <c r="M3" s="6">
        <v>1.1000000000000001</v>
      </c>
      <c r="N3" s="6">
        <v>0</v>
      </c>
      <c r="O3" s="6">
        <v>0</v>
      </c>
      <c r="P3" s="6" t="s">
        <v>75</v>
      </c>
      <c r="Q3" s="6" t="s">
        <v>75</v>
      </c>
      <c r="R3" s="6" t="s">
        <v>75</v>
      </c>
    </row>
    <row r="4" spans="1:18" ht="34.25" customHeight="1" x14ac:dyDescent="0.35">
      <c r="A4" s="6">
        <v>1</v>
      </c>
      <c r="B4" s="20">
        <v>45203</v>
      </c>
      <c r="C4" s="6" t="s">
        <v>74</v>
      </c>
      <c r="D4" s="6" t="s">
        <v>75</v>
      </c>
      <c r="E4" s="6" t="s">
        <v>20</v>
      </c>
      <c r="F4" s="6" t="s">
        <v>78</v>
      </c>
      <c r="G4" s="6" t="s">
        <v>79</v>
      </c>
      <c r="H4" s="6" t="s">
        <v>21</v>
      </c>
      <c r="I4" s="6">
        <v>8</v>
      </c>
      <c r="J4" s="6">
        <v>54</v>
      </c>
      <c r="K4" s="6">
        <v>1</v>
      </c>
      <c r="L4" s="6" t="s">
        <v>135</v>
      </c>
      <c r="M4" s="6">
        <v>3</v>
      </c>
      <c r="N4" s="6">
        <v>0</v>
      </c>
      <c r="O4" s="6">
        <v>0</v>
      </c>
      <c r="P4" s="6" t="s">
        <v>75</v>
      </c>
      <c r="Q4" s="6" t="s">
        <v>75</v>
      </c>
      <c r="R4" s="6" t="s">
        <v>75</v>
      </c>
    </row>
    <row r="5" spans="1:18" ht="34.25" customHeight="1" x14ac:dyDescent="0.35">
      <c r="A5" s="6">
        <v>1</v>
      </c>
      <c r="B5" s="20">
        <v>45203</v>
      </c>
      <c r="C5" s="6" t="s">
        <v>74</v>
      </c>
      <c r="D5" s="6" t="s">
        <v>75</v>
      </c>
      <c r="E5" s="6" t="s">
        <v>20</v>
      </c>
      <c r="F5" s="6" t="s">
        <v>81</v>
      </c>
      <c r="G5" s="6" t="s">
        <v>80</v>
      </c>
      <c r="H5" s="6" t="s">
        <v>24</v>
      </c>
      <c r="I5" s="6">
        <v>132</v>
      </c>
      <c r="J5" s="6">
        <v>19669.824000000001</v>
      </c>
      <c r="K5" s="6">
        <v>1</v>
      </c>
      <c r="L5" s="6" t="s">
        <v>136</v>
      </c>
      <c r="M5" s="6">
        <v>20</v>
      </c>
      <c r="N5" s="6">
        <v>0</v>
      </c>
      <c r="O5" s="6">
        <v>0</v>
      </c>
      <c r="P5" s="6" t="s">
        <v>75</v>
      </c>
      <c r="Q5" s="6" t="s">
        <v>75</v>
      </c>
      <c r="R5" s="6" t="s">
        <v>75</v>
      </c>
    </row>
    <row r="6" spans="1:18" ht="34.25" customHeight="1" x14ac:dyDescent="0.35">
      <c r="A6" s="6">
        <v>1</v>
      </c>
      <c r="B6" s="20">
        <v>45203</v>
      </c>
      <c r="C6" s="6" t="s">
        <v>74</v>
      </c>
      <c r="D6" s="6" t="s">
        <v>75</v>
      </c>
      <c r="E6" s="6" t="s">
        <v>20</v>
      </c>
      <c r="F6" s="6" t="s">
        <v>78</v>
      </c>
      <c r="G6" s="6" t="s">
        <v>82</v>
      </c>
      <c r="H6" s="6" t="s">
        <v>24</v>
      </c>
      <c r="I6" s="6">
        <v>145</v>
      </c>
      <c r="J6" s="6">
        <v>19669.824000000001</v>
      </c>
      <c r="K6" s="6">
        <v>1</v>
      </c>
      <c r="L6" s="6" t="s">
        <v>136</v>
      </c>
      <c r="M6" s="6">
        <v>14</v>
      </c>
      <c r="N6" s="6">
        <v>0</v>
      </c>
      <c r="O6" s="6">
        <v>0</v>
      </c>
      <c r="P6" s="6" t="s">
        <v>75</v>
      </c>
      <c r="Q6" s="6" t="s">
        <v>75</v>
      </c>
      <c r="R6" s="6" t="s">
        <v>75</v>
      </c>
    </row>
    <row r="7" spans="1:18" ht="34.25" customHeight="1" x14ac:dyDescent="0.35">
      <c r="A7" s="6">
        <v>1</v>
      </c>
      <c r="B7" s="20">
        <v>45203</v>
      </c>
      <c r="C7" s="6" t="s">
        <v>74</v>
      </c>
      <c r="D7" s="6" t="s">
        <v>75</v>
      </c>
      <c r="E7" s="6" t="s">
        <v>20</v>
      </c>
      <c r="F7" s="6" t="s">
        <v>78</v>
      </c>
      <c r="G7" s="6" t="s">
        <v>83</v>
      </c>
      <c r="H7" s="6" t="s">
        <v>24</v>
      </c>
      <c r="I7" s="6">
        <v>145</v>
      </c>
      <c r="J7" s="6">
        <v>1176</v>
      </c>
      <c r="K7" s="6">
        <v>1</v>
      </c>
      <c r="L7" s="6" t="s">
        <v>136</v>
      </c>
      <c r="M7" s="6">
        <v>14</v>
      </c>
      <c r="N7" s="6">
        <v>0</v>
      </c>
      <c r="O7" s="6">
        <v>0</v>
      </c>
      <c r="P7" s="6" t="s">
        <v>75</v>
      </c>
      <c r="Q7" s="6" t="s">
        <v>75</v>
      </c>
      <c r="R7" s="6" t="s">
        <v>75</v>
      </c>
    </row>
    <row r="8" spans="1:18" ht="36.4" customHeight="1" x14ac:dyDescent="0.35">
      <c r="A8" s="6">
        <v>7</v>
      </c>
      <c r="B8" s="20">
        <v>45214</v>
      </c>
      <c r="C8" s="6" t="s">
        <v>74</v>
      </c>
      <c r="D8" s="6" t="s">
        <v>75</v>
      </c>
      <c r="E8" s="6" t="s">
        <v>20</v>
      </c>
      <c r="F8" s="6" t="s">
        <v>81</v>
      </c>
      <c r="G8" s="6" t="s">
        <v>76</v>
      </c>
      <c r="H8" s="6" t="s">
        <v>21</v>
      </c>
      <c r="I8" s="6">
        <v>4</v>
      </c>
      <c r="J8" s="6">
        <v>192</v>
      </c>
      <c r="K8" s="6">
        <v>1</v>
      </c>
      <c r="L8" s="6" t="s">
        <v>135</v>
      </c>
      <c r="M8" s="6">
        <v>1.3</v>
      </c>
      <c r="N8" s="6">
        <v>0</v>
      </c>
      <c r="O8" s="6">
        <v>0</v>
      </c>
      <c r="P8" s="6" t="s">
        <v>75</v>
      </c>
      <c r="Q8" s="6" t="s">
        <v>75</v>
      </c>
      <c r="R8" s="6" t="s">
        <v>75</v>
      </c>
    </row>
    <row r="9" spans="1:18" ht="34.25" customHeight="1" x14ac:dyDescent="0.35">
      <c r="A9" s="6">
        <v>9</v>
      </c>
      <c r="B9" s="20">
        <v>45215</v>
      </c>
      <c r="C9" s="6" t="s">
        <v>74</v>
      </c>
      <c r="D9" s="6" t="s">
        <v>75</v>
      </c>
      <c r="E9" s="6" t="s">
        <v>20</v>
      </c>
      <c r="F9" s="6" t="s">
        <v>78</v>
      </c>
      <c r="G9" s="6" t="s">
        <v>82</v>
      </c>
      <c r="H9" s="6" t="s">
        <v>24</v>
      </c>
      <c r="I9" s="6">
        <v>228</v>
      </c>
      <c r="J9" s="6">
        <v>19669.824000000001</v>
      </c>
      <c r="K9" s="6">
        <v>1</v>
      </c>
      <c r="L9" s="6" t="s">
        <v>137</v>
      </c>
      <c r="M9" s="6">
        <v>15</v>
      </c>
      <c r="N9" s="6">
        <v>0</v>
      </c>
      <c r="O9" s="6">
        <v>0</v>
      </c>
      <c r="P9" s="6" t="s">
        <v>74</v>
      </c>
      <c r="Q9" s="6" t="s">
        <v>75</v>
      </c>
      <c r="R9" s="6" t="s">
        <v>75</v>
      </c>
    </row>
    <row r="10" spans="1:18" ht="34.25" customHeight="1" x14ac:dyDescent="0.35">
      <c r="A10" s="6">
        <v>20</v>
      </c>
      <c r="B10" s="20">
        <v>45223</v>
      </c>
      <c r="C10" s="6" t="s">
        <v>74</v>
      </c>
      <c r="D10" s="6" t="s">
        <v>75</v>
      </c>
      <c r="E10" s="6" t="s">
        <v>84</v>
      </c>
      <c r="F10" s="6" t="s">
        <v>85</v>
      </c>
      <c r="G10" s="6" t="s">
        <v>82</v>
      </c>
      <c r="H10" s="6" t="s">
        <v>24</v>
      </c>
      <c r="I10" s="6">
        <v>65</v>
      </c>
      <c r="J10" s="6">
        <v>19669.824000000001</v>
      </c>
      <c r="K10" s="6">
        <v>1</v>
      </c>
      <c r="L10" s="6" t="s">
        <v>138</v>
      </c>
      <c r="M10" s="6">
        <v>32</v>
      </c>
      <c r="N10" s="6">
        <v>0</v>
      </c>
      <c r="O10" s="6">
        <v>0</v>
      </c>
      <c r="P10" s="6" t="s">
        <v>74</v>
      </c>
      <c r="Q10" s="6" t="s">
        <v>75</v>
      </c>
      <c r="R10" s="6" t="s">
        <v>75</v>
      </c>
    </row>
    <row r="11" spans="1:18" ht="34.25" customHeight="1" x14ac:dyDescent="0.35">
      <c r="A11" s="6">
        <v>28</v>
      </c>
      <c r="B11" s="20">
        <v>45240</v>
      </c>
      <c r="C11" s="6" t="s">
        <v>74</v>
      </c>
      <c r="D11" s="6" t="s">
        <v>75</v>
      </c>
      <c r="E11" s="6" t="s">
        <v>84</v>
      </c>
      <c r="F11" s="6" t="s">
        <v>81</v>
      </c>
      <c r="G11" s="6" t="s">
        <v>82</v>
      </c>
      <c r="H11" s="6" t="s">
        <v>24</v>
      </c>
      <c r="I11" s="6">
        <v>40</v>
      </c>
      <c r="J11" s="6">
        <v>19669.824000000001</v>
      </c>
      <c r="K11" s="6">
        <v>1</v>
      </c>
      <c r="L11" s="6" t="s">
        <v>139</v>
      </c>
      <c r="M11" s="6">
        <v>48</v>
      </c>
      <c r="N11" s="6">
        <v>0</v>
      </c>
      <c r="O11" s="6">
        <v>0</v>
      </c>
      <c r="P11" s="6" t="s">
        <v>75</v>
      </c>
      <c r="Q11" s="6" t="s">
        <v>75</v>
      </c>
      <c r="R11" s="6" t="s">
        <v>75</v>
      </c>
    </row>
    <row r="12" spans="1:18" ht="34.25" customHeight="1" x14ac:dyDescent="0.35">
      <c r="A12" s="6">
        <v>30</v>
      </c>
      <c r="B12" s="20">
        <v>45268</v>
      </c>
      <c r="C12" s="6" t="s">
        <v>74</v>
      </c>
      <c r="D12" s="6" t="s">
        <v>75</v>
      </c>
      <c r="E12" s="6" t="s">
        <v>84</v>
      </c>
      <c r="F12" s="6" t="s">
        <v>81</v>
      </c>
      <c r="G12" s="6" t="s">
        <v>82</v>
      </c>
      <c r="H12" s="6" t="s">
        <v>24</v>
      </c>
      <c r="I12" s="6">
        <v>45</v>
      </c>
      <c r="J12" s="6">
        <v>19669.824000000001</v>
      </c>
      <c r="K12" s="6">
        <v>1</v>
      </c>
      <c r="L12" s="6" t="s">
        <v>137</v>
      </c>
      <c r="M12" s="6">
        <v>24</v>
      </c>
      <c r="N12" s="6">
        <v>0</v>
      </c>
      <c r="O12" s="6">
        <v>0</v>
      </c>
      <c r="P12" s="6" t="s">
        <v>74</v>
      </c>
      <c r="Q12" s="6" t="s">
        <v>75</v>
      </c>
      <c r="R12" s="6" t="s">
        <v>75</v>
      </c>
    </row>
    <row r="13" spans="1:18" ht="34.25" customHeight="1" x14ac:dyDescent="0.35">
      <c r="A13" s="6">
        <v>34</v>
      </c>
      <c r="B13" s="20">
        <v>45309</v>
      </c>
      <c r="C13" s="6" t="s">
        <v>87</v>
      </c>
      <c r="D13" s="6" t="s">
        <v>75</v>
      </c>
      <c r="E13" s="6" t="s">
        <v>20</v>
      </c>
      <c r="F13" s="6" t="s">
        <v>78</v>
      </c>
      <c r="G13" s="6" t="s">
        <v>88</v>
      </c>
      <c r="H13" s="6" t="s">
        <v>21</v>
      </c>
      <c r="I13" s="6">
        <v>0</v>
      </c>
      <c r="J13" s="6">
        <v>14</v>
      </c>
      <c r="K13" s="6">
        <v>1</v>
      </c>
      <c r="L13" s="6" t="s">
        <v>136</v>
      </c>
      <c r="M13" s="6">
        <v>16</v>
      </c>
      <c r="N13" s="6">
        <v>0</v>
      </c>
      <c r="O13" s="6">
        <v>0</v>
      </c>
      <c r="P13" s="6" t="s">
        <v>75</v>
      </c>
      <c r="Q13" s="6" t="s">
        <v>75</v>
      </c>
      <c r="R13" s="6" t="s">
        <v>75</v>
      </c>
    </row>
    <row r="14" spans="1:18" ht="34.25" customHeight="1" x14ac:dyDescent="0.35">
      <c r="A14" s="6">
        <v>37</v>
      </c>
      <c r="B14" s="20">
        <v>45342</v>
      </c>
      <c r="C14" s="6" t="s">
        <v>74</v>
      </c>
      <c r="D14" s="6" t="s">
        <v>75</v>
      </c>
      <c r="E14" s="6" t="s">
        <v>84</v>
      </c>
      <c r="F14" s="6" t="s">
        <v>90</v>
      </c>
      <c r="G14" s="6" t="s">
        <v>82</v>
      </c>
      <c r="H14" s="6" t="s">
        <v>24</v>
      </c>
      <c r="I14" s="6">
        <v>65</v>
      </c>
      <c r="J14" s="6">
        <v>19669.824000000001</v>
      </c>
      <c r="K14" s="6">
        <v>1</v>
      </c>
      <c r="L14" s="6" t="s">
        <v>138</v>
      </c>
      <c r="M14" s="6">
        <v>40</v>
      </c>
      <c r="N14" s="6">
        <v>0</v>
      </c>
      <c r="O14" s="6">
        <v>0</v>
      </c>
      <c r="P14" s="6" t="s">
        <v>75</v>
      </c>
      <c r="Q14" s="6" t="s">
        <v>75</v>
      </c>
      <c r="R14" s="6" t="s">
        <v>75</v>
      </c>
    </row>
    <row r="15" spans="1:18" ht="34.25" customHeight="1" x14ac:dyDescent="0.35">
      <c r="A15" s="6">
        <v>44</v>
      </c>
      <c r="B15" s="20">
        <v>45351</v>
      </c>
      <c r="C15" s="6" t="s">
        <v>92</v>
      </c>
      <c r="D15" s="6" t="s">
        <v>75</v>
      </c>
      <c r="E15" s="6" t="s">
        <v>20</v>
      </c>
      <c r="F15" s="6" t="s">
        <v>78</v>
      </c>
      <c r="G15" s="6" t="s">
        <v>80</v>
      </c>
      <c r="H15" s="6" t="s">
        <v>24</v>
      </c>
      <c r="I15" s="6">
        <v>45</v>
      </c>
      <c r="J15" s="6">
        <v>19669.824000000001</v>
      </c>
      <c r="K15" s="6">
        <v>1</v>
      </c>
      <c r="L15" s="6" t="s">
        <v>136</v>
      </c>
      <c r="M15" s="6">
        <v>16</v>
      </c>
      <c r="N15" s="6">
        <v>0</v>
      </c>
      <c r="O15" s="6">
        <v>0</v>
      </c>
      <c r="P15" s="6" t="s">
        <v>87</v>
      </c>
      <c r="Q15" s="6" t="s">
        <v>75</v>
      </c>
      <c r="R15" s="6" t="s">
        <v>75</v>
      </c>
    </row>
    <row r="16" spans="1:18" ht="34.25" customHeight="1" x14ac:dyDescent="0.35">
      <c r="A16" s="6">
        <v>46</v>
      </c>
      <c r="B16" s="20">
        <v>45351</v>
      </c>
      <c r="C16" s="6" t="s">
        <v>92</v>
      </c>
      <c r="D16" s="6" t="s">
        <v>75</v>
      </c>
      <c r="E16" s="6" t="s">
        <v>20</v>
      </c>
      <c r="F16" s="6" t="s">
        <v>78</v>
      </c>
      <c r="G16" s="6" t="s">
        <v>80</v>
      </c>
      <c r="H16" s="6" t="s">
        <v>24</v>
      </c>
      <c r="I16" s="6">
        <v>45</v>
      </c>
      <c r="J16" s="6">
        <v>19669.824000000001</v>
      </c>
      <c r="K16" s="6">
        <v>1</v>
      </c>
      <c r="L16" s="6" t="s">
        <v>136</v>
      </c>
      <c r="M16" s="6">
        <v>16</v>
      </c>
      <c r="N16" s="6">
        <v>0</v>
      </c>
      <c r="O16" s="6">
        <v>0</v>
      </c>
      <c r="P16" s="6" t="s">
        <v>75</v>
      </c>
      <c r="Q16" s="6" t="s">
        <v>75</v>
      </c>
      <c r="R16" s="6" t="s">
        <v>75</v>
      </c>
    </row>
    <row r="17" spans="1:18" ht="34.25" customHeight="1" x14ac:dyDescent="0.35">
      <c r="A17" s="6">
        <v>57</v>
      </c>
      <c r="B17" s="20">
        <v>45384</v>
      </c>
      <c r="C17" s="6" t="s">
        <v>74</v>
      </c>
      <c r="D17" s="6" t="s">
        <v>75</v>
      </c>
      <c r="E17" s="6" t="s">
        <v>84</v>
      </c>
      <c r="F17" s="6" t="s">
        <v>94</v>
      </c>
      <c r="G17" s="6" t="s">
        <v>83</v>
      </c>
      <c r="H17" s="6" t="s">
        <v>24</v>
      </c>
      <c r="I17" s="6">
        <v>200</v>
      </c>
      <c r="J17" s="6">
        <v>1176</v>
      </c>
      <c r="K17" s="6">
        <v>1</v>
      </c>
      <c r="L17" s="6" t="s">
        <v>139</v>
      </c>
      <c r="M17" s="6">
        <v>60</v>
      </c>
      <c r="N17" s="6">
        <v>0</v>
      </c>
      <c r="O17" s="6">
        <v>0</v>
      </c>
      <c r="P17" s="6" t="s">
        <v>75</v>
      </c>
      <c r="Q17" s="6" t="s">
        <v>75</v>
      </c>
      <c r="R17" s="6" t="s">
        <v>75</v>
      </c>
    </row>
    <row r="18" spans="1:18" ht="34.25" customHeight="1" x14ac:dyDescent="0.35">
      <c r="A18" s="6">
        <v>67</v>
      </c>
      <c r="B18" s="20">
        <v>45394</v>
      </c>
      <c r="C18" s="6" t="s">
        <v>74</v>
      </c>
      <c r="D18" s="6" t="s">
        <v>75</v>
      </c>
      <c r="E18" s="6" t="s">
        <v>84</v>
      </c>
      <c r="F18" s="6" t="s">
        <v>17</v>
      </c>
      <c r="G18" s="6" t="s">
        <v>82</v>
      </c>
      <c r="H18" s="6" t="s">
        <v>24</v>
      </c>
      <c r="I18" s="6">
        <v>400</v>
      </c>
      <c r="J18" s="6">
        <v>19669.824000000001</v>
      </c>
      <c r="K18" s="6">
        <v>1</v>
      </c>
      <c r="L18" s="6">
        <v>0</v>
      </c>
      <c r="M18" s="6">
        <v>0</v>
      </c>
      <c r="N18" s="6">
        <v>0</v>
      </c>
      <c r="O18" s="6">
        <v>0</v>
      </c>
      <c r="P18" s="6" t="s">
        <v>75</v>
      </c>
      <c r="Q18" s="6" t="s">
        <v>75</v>
      </c>
      <c r="R18" s="6" t="s">
        <v>75</v>
      </c>
    </row>
    <row r="19" spans="1:18" ht="34.25" customHeight="1" x14ac:dyDescent="0.35">
      <c r="A19" s="6">
        <v>68</v>
      </c>
      <c r="B19" s="20">
        <v>45415</v>
      </c>
      <c r="C19" s="6" t="s">
        <v>74</v>
      </c>
      <c r="D19" s="6" t="s">
        <v>75</v>
      </c>
      <c r="E19" s="6" t="s">
        <v>84</v>
      </c>
      <c r="F19" s="6" t="s">
        <v>81</v>
      </c>
      <c r="G19" s="6" t="s">
        <v>82</v>
      </c>
      <c r="H19" s="6" t="s">
        <v>24</v>
      </c>
      <c r="I19" s="6">
        <v>98</v>
      </c>
      <c r="J19" s="6">
        <v>19669.824000000001</v>
      </c>
      <c r="K19" s="6">
        <v>1</v>
      </c>
      <c r="L19" s="6" t="s">
        <v>137</v>
      </c>
      <c r="M19" s="6">
        <v>30</v>
      </c>
      <c r="N19" s="6">
        <v>0</v>
      </c>
      <c r="O19" s="6">
        <v>0</v>
      </c>
      <c r="P19" s="6" t="s">
        <v>74</v>
      </c>
      <c r="Q19" s="6" t="s">
        <v>75</v>
      </c>
      <c r="R19" s="6" t="s">
        <v>75</v>
      </c>
    </row>
    <row r="20" spans="1:18" ht="34.25" customHeight="1" x14ac:dyDescent="0.35">
      <c r="A20" s="6">
        <v>68</v>
      </c>
      <c r="B20" s="20">
        <v>45415</v>
      </c>
      <c r="C20" s="6" t="s">
        <v>74</v>
      </c>
      <c r="D20" s="6" t="s">
        <v>75</v>
      </c>
      <c r="E20" s="6" t="s">
        <v>84</v>
      </c>
      <c r="F20" s="6" t="s">
        <v>94</v>
      </c>
      <c r="G20" s="6" t="s">
        <v>83</v>
      </c>
      <c r="H20" s="6" t="s">
        <v>24</v>
      </c>
      <c r="I20" s="6">
        <v>20</v>
      </c>
      <c r="J20" s="6">
        <v>1176</v>
      </c>
      <c r="K20" s="6">
        <v>1</v>
      </c>
      <c r="L20" s="6" t="s">
        <v>138</v>
      </c>
      <c r="M20" s="6">
        <v>40</v>
      </c>
      <c r="N20" s="6">
        <v>0</v>
      </c>
      <c r="O20" s="6">
        <v>0</v>
      </c>
      <c r="P20" s="6" t="s">
        <v>74</v>
      </c>
      <c r="Q20" s="6" t="s">
        <v>75</v>
      </c>
      <c r="R20" s="6" t="s">
        <v>75</v>
      </c>
    </row>
    <row r="21" spans="1:18" ht="36.4" customHeight="1" x14ac:dyDescent="0.35">
      <c r="A21" s="6">
        <v>70</v>
      </c>
      <c r="B21" s="20">
        <v>45415</v>
      </c>
      <c r="C21" s="6" t="s">
        <v>74</v>
      </c>
      <c r="D21" s="6" t="s">
        <v>75</v>
      </c>
      <c r="E21" s="6" t="s">
        <v>84</v>
      </c>
      <c r="F21" s="6" t="s">
        <v>17</v>
      </c>
      <c r="G21" s="6" t="s">
        <v>76</v>
      </c>
      <c r="H21" s="6" t="s">
        <v>21</v>
      </c>
      <c r="I21" s="6">
        <v>5</v>
      </c>
      <c r="J21" s="6">
        <v>192</v>
      </c>
      <c r="K21" s="6">
        <v>1</v>
      </c>
      <c r="L21" s="6">
        <v>0</v>
      </c>
      <c r="M21" s="6">
        <v>0</v>
      </c>
      <c r="N21" s="6">
        <v>0</v>
      </c>
      <c r="O21" s="6">
        <v>0</v>
      </c>
      <c r="P21" s="6" t="s">
        <v>75</v>
      </c>
      <c r="Q21" s="6" t="s">
        <v>75</v>
      </c>
      <c r="R21" s="6" t="s">
        <v>75</v>
      </c>
    </row>
    <row r="22" spans="1:18" ht="34.25" customHeight="1" x14ac:dyDescent="0.35">
      <c r="A22" s="6">
        <v>71</v>
      </c>
      <c r="B22" s="20">
        <v>45415</v>
      </c>
      <c r="C22" s="6" t="s">
        <v>74</v>
      </c>
      <c r="D22" s="6" t="s">
        <v>75</v>
      </c>
      <c r="E22" s="6" t="s">
        <v>84</v>
      </c>
      <c r="F22" s="6" t="s">
        <v>17</v>
      </c>
      <c r="G22" s="6" t="s">
        <v>83</v>
      </c>
      <c r="H22" s="6" t="s">
        <v>24</v>
      </c>
      <c r="I22" s="6">
        <v>400</v>
      </c>
      <c r="J22" s="6">
        <v>1176</v>
      </c>
      <c r="K22" s="6">
        <v>1</v>
      </c>
      <c r="L22" s="6">
        <v>0</v>
      </c>
      <c r="M22" s="6">
        <v>0</v>
      </c>
      <c r="N22" s="6">
        <v>0</v>
      </c>
      <c r="O22" s="6">
        <v>0</v>
      </c>
      <c r="P22" s="6" t="s">
        <v>75</v>
      </c>
      <c r="Q22" s="6" t="s">
        <v>75</v>
      </c>
      <c r="R22" s="6" t="s">
        <v>75</v>
      </c>
    </row>
    <row r="23" spans="1:18" ht="36.4" customHeight="1" x14ac:dyDescent="0.35">
      <c r="A23" s="6">
        <v>72</v>
      </c>
      <c r="B23" s="20">
        <v>45425</v>
      </c>
      <c r="C23" s="6" t="s">
        <v>74</v>
      </c>
      <c r="D23" s="6" t="s">
        <v>75</v>
      </c>
      <c r="E23" s="6" t="s">
        <v>84</v>
      </c>
      <c r="F23" s="6" t="s">
        <v>17</v>
      </c>
      <c r="G23" s="6" t="s">
        <v>76</v>
      </c>
      <c r="H23" s="6" t="s">
        <v>21</v>
      </c>
      <c r="I23" s="6">
        <v>5</v>
      </c>
      <c r="J23" s="6">
        <v>192</v>
      </c>
      <c r="K23" s="6">
        <v>1</v>
      </c>
      <c r="L23" s="6">
        <v>0</v>
      </c>
      <c r="M23" s="6">
        <v>0</v>
      </c>
      <c r="N23" s="6">
        <v>0</v>
      </c>
      <c r="O23" s="6">
        <v>0</v>
      </c>
      <c r="P23" s="6" t="s">
        <v>75</v>
      </c>
      <c r="Q23" s="6" t="s">
        <v>75</v>
      </c>
      <c r="R23" s="6" t="s">
        <v>75</v>
      </c>
    </row>
    <row r="24" spans="1:18" ht="34.25" customHeight="1" x14ac:dyDescent="0.35">
      <c r="A24" s="6">
        <v>73</v>
      </c>
      <c r="B24" s="20">
        <v>45425</v>
      </c>
      <c r="C24" s="6" t="s">
        <v>74</v>
      </c>
      <c r="D24" s="6" t="s">
        <v>75</v>
      </c>
      <c r="E24" s="6" t="s">
        <v>84</v>
      </c>
      <c r="F24" s="6" t="s">
        <v>17</v>
      </c>
      <c r="G24" s="6" t="s">
        <v>83</v>
      </c>
      <c r="H24" s="6" t="s">
        <v>24</v>
      </c>
      <c r="I24" s="6">
        <v>11</v>
      </c>
      <c r="J24" s="6">
        <v>1176</v>
      </c>
      <c r="K24" s="6">
        <v>1</v>
      </c>
      <c r="L24" s="6">
        <v>0</v>
      </c>
      <c r="M24" s="6">
        <v>0</v>
      </c>
      <c r="N24" s="6">
        <v>0</v>
      </c>
      <c r="O24" s="6">
        <v>0</v>
      </c>
      <c r="P24" s="6" t="s">
        <v>74</v>
      </c>
      <c r="Q24" s="6" t="s">
        <v>75</v>
      </c>
      <c r="R24" s="6" t="s">
        <v>75</v>
      </c>
    </row>
    <row r="25" spans="1:18" ht="34.25" customHeight="1" x14ac:dyDescent="0.35">
      <c r="A25" s="6">
        <v>74</v>
      </c>
      <c r="B25" s="20">
        <v>45426</v>
      </c>
      <c r="C25" s="6" t="s">
        <v>74</v>
      </c>
      <c r="D25" s="6" t="s">
        <v>75</v>
      </c>
      <c r="E25" s="6" t="s">
        <v>84</v>
      </c>
      <c r="F25" s="6" t="s">
        <v>99</v>
      </c>
      <c r="G25" s="6" t="s">
        <v>79</v>
      </c>
      <c r="H25" s="6" t="s">
        <v>21</v>
      </c>
      <c r="I25" s="6">
        <v>14</v>
      </c>
      <c r="J25" s="6">
        <v>54</v>
      </c>
      <c r="K25" s="6">
        <v>1</v>
      </c>
      <c r="L25" s="6" t="s">
        <v>139</v>
      </c>
      <c r="M25" s="6">
        <v>60</v>
      </c>
      <c r="N25" s="6">
        <v>0</v>
      </c>
      <c r="O25" s="6">
        <v>0</v>
      </c>
      <c r="P25" s="6" t="s">
        <v>74</v>
      </c>
      <c r="Q25" s="6" t="s">
        <v>75</v>
      </c>
      <c r="R25" s="6" t="s">
        <v>75</v>
      </c>
    </row>
    <row r="26" spans="1:18" ht="34.25" customHeight="1" x14ac:dyDescent="0.35">
      <c r="A26" s="6">
        <v>74</v>
      </c>
      <c r="B26" s="20">
        <v>45426</v>
      </c>
      <c r="C26" s="6" t="s">
        <v>74</v>
      </c>
      <c r="D26" s="6" t="s">
        <v>75</v>
      </c>
      <c r="E26" s="6" t="s">
        <v>84</v>
      </c>
      <c r="F26" s="6" t="s">
        <v>78</v>
      </c>
      <c r="G26" s="6" t="s">
        <v>82</v>
      </c>
      <c r="H26" s="6" t="s">
        <v>24</v>
      </c>
      <c r="I26" s="6">
        <v>46</v>
      </c>
      <c r="J26" s="6">
        <v>19669.824000000001</v>
      </c>
      <c r="K26" s="6">
        <v>1</v>
      </c>
      <c r="L26" s="6">
        <v>0</v>
      </c>
      <c r="M26" s="6">
        <v>0</v>
      </c>
      <c r="N26" s="6">
        <v>0</v>
      </c>
      <c r="O26" s="6">
        <v>0</v>
      </c>
      <c r="P26" s="6" t="s">
        <v>74</v>
      </c>
      <c r="Q26" s="6" t="s">
        <v>75</v>
      </c>
      <c r="R26" s="6" t="s">
        <v>75</v>
      </c>
    </row>
    <row r="27" spans="1:18" ht="36.4" customHeight="1" x14ac:dyDescent="0.35">
      <c r="A27" s="6">
        <v>76</v>
      </c>
      <c r="B27" s="20">
        <v>45440</v>
      </c>
      <c r="C27" s="6" t="s">
        <v>74</v>
      </c>
      <c r="D27" s="6" t="s">
        <v>75</v>
      </c>
      <c r="E27" s="6" t="s">
        <v>84</v>
      </c>
      <c r="F27" s="6" t="s">
        <v>17</v>
      </c>
      <c r="G27" s="6" t="s">
        <v>76</v>
      </c>
      <c r="H27" s="6" t="s">
        <v>21</v>
      </c>
      <c r="I27" s="6">
        <v>3</v>
      </c>
      <c r="J27" s="6">
        <v>192</v>
      </c>
      <c r="K27" s="6">
        <v>1</v>
      </c>
      <c r="L27" s="6">
        <v>0</v>
      </c>
      <c r="M27" s="6">
        <v>0</v>
      </c>
      <c r="N27" s="6">
        <v>0</v>
      </c>
      <c r="O27" s="6">
        <v>0</v>
      </c>
      <c r="P27" s="6" t="s">
        <v>75</v>
      </c>
      <c r="Q27" s="6" t="s">
        <v>75</v>
      </c>
      <c r="R27" s="6" t="s">
        <v>75</v>
      </c>
    </row>
    <row r="28" spans="1:18" ht="34.25" customHeight="1" x14ac:dyDescent="0.35">
      <c r="A28" s="6">
        <v>77</v>
      </c>
      <c r="B28" s="20">
        <v>45440</v>
      </c>
      <c r="C28" s="6" t="s">
        <v>74</v>
      </c>
      <c r="D28" s="6" t="s">
        <v>75</v>
      </c>
      <c r="E28" s="6" t="s">
        <v>84</v>
      </c>
      <c r="F28" s="6" t="s">
        <v>17</v>
      </c>
      <c r="G28" s="6" t="s">
        <v>83</v>
      </c>
      <c r="H28" s="6" t="s">
        <v>24</v>
      </c>
      <c r="I28" s="6">
        <v>150</v>
      </c>
      <c r="J28" s="6">
        <v>1176</v>
      </c>
      <c r="K28" s="6">
        <v>1</v>
      </c>
      <c r="L28" s="6">
        <v>0</v>
      </c>
      <c r="M28" s="6">
        <v>0</v>
      </c>
      <c r="N28" s="6">
        <v>0</v>
      </c>
      <c r="O28" s="6">
        <v>0</v>
      </c>
      <c r="P28" s="6" t="s">
        <v>75</v>
      </c>
      <c r="Q28" s="6" t="s">
        <v>75</v>
      </c>
      <c r="R28" s="6" t="s">
        <v>75</v>
      </c>
    </row>
    <row r="29" spans="1:18" ht="34.25" customHeight="1" x14ac:dyDescent="0.35">
      <c r="A29" s="6">
        <v>78</v>
      </c>
      <c r="B29" s="20">
        <v>45450</v>
      </c>
      <c r="C29" s="6" t="s">
        <v>74</v>
      </c>
      <c r="D29" s="6" t="s">
        <v>75</v>
      </c>
      <c r="E29" s="6" t="s">
        <v>84</v>
      </c>
      <c r="F29" s="6" t="s">
        <v>81</v>
      </c>
      <c r="G29" s="6" t="s">
        <v>80</v>
      </c>
      <c r="H29" s="6" t="s">
        <v>24</v>
      </c>
      <c r="I29" s="6">
        <v>65</v>
      </c>
      <c r="J29" s="6">
        <v>19669.824000000001</v>
      </c>
      <c r="K29" s="6">
        <v>1</v>
      </c>
      <c r="L29" s="6" t="s">
        <v>139</v>
      </c>
      <c r="M29" s="6">
        <v>60</v>
      </c>
      <c r="N29" s="6">
        <v>0</v>
      </c>
      <c r="O29" s="6">
        <v>0</v>
      </c>
      <c r="P29" s="6" t="s">
        <v>74</v>
      </c>
      <c r="Q29" s="6" t="s">
        <v>75</v>
      </c>
      <c r="R29" s="6" t="s">
        <v>75</v>
      </c>
    </row>
    <row r="30" spans="1:18" ht="34.25" customHeight="1" x14ac:dyDescent="0.35">
      <c r="A30" s="6">
        <v>78</v>
      </c>
      <c r="B30" s="20">
        <v>45450</v>
      </c>
      <c r="C30" s="6" t="s">
        <v>74</v>
      </c>
      <c r="D30" s="6" t="s">
        <v>75</v>
      </c>
      <c r="E30" s="6" t="s">
        <v>84</v>
      </c>
      <c r="F30" s="6" t="s">
        <v>99</v>
      </c>
      <c r="G30" s="6" t="s">
        <v>83</v>
      </c>
      <c r="H30" s="6" t="s">
        <v>24</v>
      </c>
      <c r="I30" s="6">
        <v>55</v>
      </c>
      <c r="J30" s="6">
        <v>1176</v>
      </c>
      <c r="K30" s="6">
        <v>1</v>
      </c>
      <c r="L30" s="6" t="s">
        <v>140</v>
      </c>
      <c r="M30" s="6">
        <v>50</v>
      </c>
      <c r="N30" s="6">
        <v>0</v>
      </c>
      <c r="O30" s="6">
        <v>0</v>
      </c>
      <c r="P30" s="6" t="s">
        <v>74</v>
      </c>
      <c r="Q30" s="6" t="s">
        <v>75</v>
      </c>
      <c r="R30" s="6" t="s">
        <v>75</v>
      </c>
    </row>
    <row r="31" spans="1:18" ht="34.25" customHeight="1" x14ac:dyDescent="0.35">
      <c r="A31" s="6">
        <v>80</v>
      </c>
      <c r="B31" s="20">
        <v>45450</v>
      </c>
      <c r="C31" s="6" t="s">
        <v>74</v>
      </c>
      <c r="D31" s="6" t="s">
        <v>75</v>
      </c>
      <c r="E31" s="6" t="s">
        <v>20</v>
      </c>
      <c r="F31" s="6" t="s">
        <v>17</v>
      </c>
      <c r="G31" s="6" t="s">
        <v>83</v>
      </c>
      <c r="H31" s="6" t="s">
        <v>24</v>
      </c>
      <c r="I31" s="6">
        <v>22</v>
      </c>
      <c r="J31" s="6">
        <v>1176</v>
      </c>
      <c r="K31" s="6">
        <v>1</v>
      </c>
      <c r="L31" s="6">
        <v>0</v>
      </c>
      <c r="M31" s="6">
        <v>0</v>
      </c>
      <c r="N31" s="6">
        <v>0</v>
      </c>
      <c r="O31" s="6">
        <v>0</v>
      </c>
      <c r="P31" s="6" t="s">
        <v>75</v>
      </c>
      <c r="Q31" s="6" t="s">
        <v>75</v>
      </c>
      <c r="R31" s="6" t="s">
        <v>75</v>
      </c>
    </row>
    <row r="32" spans="1:18" ht="34.25" customHeight="1" x14ac:dyDescent="0.35">
      <c r="A32" s="6">
        <v>81</v>
      </c>
      <c r="B32" s="20">
        <v>45450</v>
      </c>
      <c r="C32" s="6" t="s">
        <v>74</v>
      </c>
      <c r="D32" s="6" t="s">
        <v>75</v>
      </c>
      <c r="E32" s="6" t="s">
        <v>84</v>
      </c>
      <c r="F32" s="6" t="s">
        <v>17</v>
      </c>
      <c r="G32" s="6" t="s">
        <v>83</v>
      </c>
      <c r="H32" s="6" t="s">
        <v>24</v>
      </c>
      <c r="I32" s="6">
        <v>200</v>
      </c>
      <c r="J32" s="6">
        <v>1176</v>
      </c>
      <c r="K32" s="6">
        <v>1</v>
      </c>
      <c r="L32" s="6">
        <v>0</v>
      </c>
      <c r="M32" s="6">
        <v>0</v>
      </c>
      <c r="N32" s="6">
        <v>0</v>
      </c>
      <c r="O32" s="6">
        <v>0</v>
      </c>
      <c r="P32" s="6" t="s">
        <v>75</v>
      </c>
      <c r="Q32" s="6" t="s">
        <v>75</v>
      </c>
      <c r="R32" s="6" t="s">
        <v>75</v>
      </c>
    </row>
    <row r="33" spans="1:18" ht="36.4" customHeight="1" x14ac:dyDescent="0.35">
      <c r="A33" s="6">
        <v>82</v>
      </c>
      <c r="B33" s="20">
        <v>45491</v>
      </c>
      <c r="C33" s="6" t="s">
        <v>74</v>
      </c>
      <c r="D33" s="6" t="s">
        <v>75</v>
      </c>
      <c r="E33" s="6" t="s">
        <v>84</v>
      </c>
      <c r="F33" s="6" t="s">
        <v>78</v>
      </c>
      <c r="G33" s="6" t="s">
        <v>76</v>
      </c>
      <c r="H33" s="6" t="s">
        <v>21</v>
      </c>
      <c r="I33" s="6">
        <v>4</v>
      </c>
      <c r="J33" s="6">
        <v>192</v>
      </c>
      <c r="K33" s="6">
        <v>1</v>
      </c>
      <c r="L33" s="6" t="s">
        <v>139</v>
      </c>
      <c r="M33" s="6">
        <v>48</v>
      </c>
      <c r="N33" s="6">
        <v>0</v>
      </c>
      <c r="O33" s="6">
        <v>0</v>
      </c>
      <c r="P33" s="6" t="s">
        <v>75</v>
      </c>
      <c r="Q33" s="6" t="s">
        <v>75</v>
      </c>
      <c r="R33" s="6" t="s">
        <v>75</v>
      </c>
    </row>
    <row r="34" spans="1:18" ht="34.25" customHeight="1" x14ac:dyDescent="0.35">
      <c r="A34" s="6">
        <v>85</v>
      </c>
      <c r="B34" s="20">
        <v>45492</v>
      </c>
      <c r="C34" s="6" t="s">
        <v>74</v>
      </c>
      <c r="D34" s="6" t="s">
        <v>75</v>
      </c>
      <c r="E34" s="6" t="s">
        <v>84</v>
      </c>
      <c r="F34" s="6" t="s">
        <v>85</v>
      </c>
      <c r="G34" s="6" t="s">
        <v>79</v>
      </c>
      <c r="H34" s="6" t="s">
        <v>21</v>
      </c>
      <c r="I34" s="6">
        <v>4</v>
      </c>
      <c r="J34" s="6">
        <v>54</v>
      </c>
      <c r="K34" s="6">
        <v>1</v>
      </c>
      <c r="L34" s="6">
        <v>0</v>
      </c>
      <c r="M34" s="6">
        <v>0</v>
      </c>
      <c r="N34" s="6">
        <v>0</v>
      </c>
      <c r="O34" s="6">
        <v>0</v>
      </c>
      <c r="P34" s="6" t="s">
        <v>75</v>
      </c>
      <c r="Q34" s="6" t="s">
        <v>75</v>
      </c>
      <c r="R34" s="6" t="s">
        <v>75</v>
      </c>
    </row>
    <row r="35" spans="1:18" ht="34.25" customHeight="1" x14ac:dyDescent="0.35">
      <c r="A35" s="6">
        <v>86</v>
      </c>
      <c r="B35" s="20">
        <v>45511</v>
      </c>
      <c r="C35" s="6" t="s">
        <v>74</v>
      </c>
      <c r="D35" s="6" t="s">
        <v>75</v>
      </c>
      <c r="E35" s="6" t="s">
        <v>84</v>
      </c>
      <c r="F35" s="6" t="s">
        <v>99</v>
      </c>
      <c r="G35" s="6" t="s">
        <v>80</v>
      </c>
      <c r="H35" s="6" t="s">
        <v>24</v>
      </c>
      <c r="I35" s="6">
        <v>45</v>
      </c>
      <c r="J35" s="6">
        <v>19669.824000000001</v>
      </c>
      <c r="K35" s="6">
        <v>1</v>
      </c>
      <c r="L35" s="6" t="s">
        <v>140</v>
      </c>
      <c r="M35" s="6">
        <v>50</v>
      </c>
      <c r="N35" s="6">
        <v>0</v>
      </c>
      <c r="O35" s="6">
        <v>0</v>
      </c>
      <c r="P35" s="6" t="s">
        <v>74</v>
      </c>
      <c r="Q35" s="6" t="s">
        <v>75</v>
      </c>
      <c r="R35" s="6" t="s">
        <v>75</v>
      </c>
    </row>
    <row r="36" spans="1:18" ht="36.4" customHeight="1" x14ac:dyDescent="0.35">
      <c r="A36" s="6">
        <v>88</v>
      </c>
      <c r="B36" s="20">
        <v>45511</v>
      </c>
      <c r="C36" s="6" t="s">
        <v>74</v>
      </c>
      <c r="D36" s="6" t="s">
        <v>75</v>
      </c>
      <c r="E36" s="6" t="s">
        <v>84</v>
      </c>
      <c r="F36" s="6" t="s">
        <v>17</v>
      </c>
      <c r="G36" s="6" t="s">
        <v>76</v>
      </c>
      <c r="H36" s="6" t="s">
        <v>21</v>
      </c>
      <c r="I36" s="6">
        <v>6</v>
      </c>
      <c r="J36" s="6">
        <v>192</v>
      </c>
      <c r="K36" s="6">
        <v>1</v>
      </c>
      <c r="L36" s="6">
        <v>0</v>
      </c>
      <c r="M36" s="6">
        <v>0</v>
      </c>
      <c r="N36" s="6">
        <v>0</v>
      </c>
      <c r="O36" s="6">
        <v>0</v>
      </c>
      <c r="P36" s="6" t="s">
        <v>75</v>
      </c>
      <c r="Q36" s="6" t="s">
        <v>75</v>
      </c>
      <c r="R36" s="6" t="s">
        <v>75</v>
      </c>
    </row>
    <row r="37" spans="1:18" ht="34.25" customHeight="1" x14ac:dyDescent="0.35">
      <c r="A37" s="6">
        <v>97</v>
      </c>
      <c r="B37" s="20">
        <v>45544</v>
      </c>
      <c r="C37" s="6" t="s">
        <v>74</v>
      </c>
      <c r="D37" s="6" t="s">
        <v>75</v>
      </c>
      <c r="E37" s="6" t="s">
        <v>84</v>
      </c>
      <c r="F37" s="6" t="s">
        <v>99</v>
      </c>
      <c r="G37" s="6" t="s">
        <v>82</v>
      </c>
      <c r="H37" s="6" t="s">
        <v>24</v>
      </c>
      <c r="I37" s="6">
        <v>65</v>
      </c>
      <c r="J37" s="6">
        <v>19669.824000000001</v>
      </c>
      <c r="K37" s="6">
        <v>1</v>
      </c>
      <c r="L37" s="6" t="s">
        <v>138</v>
      </c>
      <c r="M37" s="6">
        <v>36</v>
      </c>
      <c r="N37" s="6">
        <v>0</v>
      </c>
      <c r="O37" s="6">
        <v>0</v>
      </c>
      <c r="P37" s="6" t="s">
        <v>75</v>
      </c>
      <c r="Q37" s="6" t="s">
        <v>75</v>
      </c>
      <c r="R37" s="6" t="s">
        <v>75</v>
      </c>
    </row>
    <row r="38" spans="1:18" ht="36.4" customHeight="1" x14ac:dyDescent="0.35">
      <c r="A38" s="6">
        <v>99</v>
      </c>
      <c r="B38" s="20">
        <v>45544</v>
      </c>
      <c r="C38" s="6" t="s">
        <v>74</v>
      </c>
      <c r="D38" s="6" t="s">
        <v>75</v>
      </c>
      <c r="E38" s="6" t="s">
        <v>84</v>
      </c>
      <c r="F38" s="6" t="s">
        <v>17</v>
      </c>
      <c r="G38" s="6" t="s">
        <v>76</v>
      </c>
      <c r="H38" s="6" t="s">
        <v>21</v>
      </c>
      <c r="I38" s="6">
        <v>4</v>
      </c>
      <c r="J38" s="6">
        <v>192</v>
      </c>
      <c r="K38" s="6">
        <v>1</v>
      </c>
      <c r="L38" s="6">
        <v>0</v>
      </c>
      <c r="M38" s="6">
        <v>0</v>
      </c>
      <c r="N38" s="6">
        <v>0</v>
      </c>
      <c r="O38" s="6">
        <v>0</v>
      </c>
      <c r="P38" s="6" t="s">
        <v>75</v>
      </c>
      <c r="Q38" s="6" t="s">
        <v>75</v>
      </c>
      <c r="R38" s="6" t="s">
        <v>75</v>
      </c>
    </row>
    <row r="39" spans="1:18" ht="34.25" customHeight="1" x14ac:dyDescent="0.35">
      <c r="A39" s="6">
        <v>100</v>
      </c>
      <c r="B39" s="20">
        <v>45544</v>
      </c>
      <c r="C39" s="6" t="s">
        <v>74</v>
      </c>
      <c r="D39" s="6" t="s">
        <v>75</v>
      </c>
      <c r="E39" s="6" t="s">
        <v>84</v>
      </c>
      <c r="F39" s="6" t="s">
        <v>17</v>
      </c>
      <c r="G39" s="6" t="s">
        <v>79</v>
      </c>
      <c r="H39" s="6" t="s">
        <v>21</v>
      </c>
      <c r="I39" s="6">
        <v>10</v>
      </c>
      <c r="J39" s="6">
        <v>54</v>
      </c>
      <c r="K39" s="6">
        <v>1</v>
      </c>
      <c r="L39" s="6">
        <v>0</v>
      </c>
      <c r="M39" s="6">
        <v>0</v>
      </c>
      <c r="N39" s="6">
        <v>0</v>
      </c>
      <c r="O39" s="6">
        <v>0</v>
      </c>
      <c r="P39" s="6" t="s">
        <v>75</v>
      </c>
      <c r="Q39" s="6" t="s">
        <v>75</v>
      </c>
      <c r="R39" s="6" t="s">
        <v>75</v>
      </c>
    </row>
    <row r="40" spans="1:18" ht="34.25" customHeight="1" x14ac:dyDescent="0.35">
      <c r="A40" s="6">
        <v>102</v>
      </c>
      <c r="B40" s="20">
        <v>45581</v>
      </c>
      <c r="C40" s="6" t="s">
        <v>74</v>
      </c>
      <c r="D40" s="6" t="s">
        <v>75</v>
      </c>
      <c r="E40" s="6" t="s">
        <v>105</v>
      </c>
      <c r="F40" s="6" t="s">
        <v>94</v>
      </c>
      <c r="G40" s="6" t="s">
        <v>82</v>
      </c>
      <c r="H40" s="6" t="s">
        <v>24</v>
      </c>
      <c r="I40" s="6">
        <v>33</v>
      </c>
      <c r="J40" s="6">
        <v>19669.824000000001</v>
      </c>
      <c r="K40" s="6">
        <v>1</v>
      </c>
      <c r="L40" s="6" t="s">
        <v>137</v>
      </c>
      <c r="M40" s="6">
        <v>27</v>
      </c>
      <c r="N40" s="6">
        <v>0</v>
      </c>
      <c r="O40" s="6">
        <v>0</v>
      </c>
      <c r="P40" s="6" t="s">
        <v>74</v>
      </c>
      <c r="Q40" s="6" t="s">
        <v>75</v>
      </c>
      <c r="R40" s="6" t="s">
        <v>75</v>
      </c>
    </row>
    <row r="41" spans="1:18" ht="34.25" customHeight="1" x14ac:dyDescent="0.35">
      <c r="A41" s="6">
        <v>104</v>
      </c>
      <c r="B41" s="20">
        <v>45581</v>
      </c>
      <c r="C41" s="6" t="s">
        <v>74</v>
      </c>
      <c r="D41" s="6" t="s">
        <v>75</v>
      </c>
      <c r="E41" s="6" t="s">
        <v>84</v>
      </c>
      <c r="F41" s="6" t="s">
        <v>17</v>
      </c>
      <c r="G41" s="6" t="s">
        <v>107</v>
      </c>
      <c r="H41" s="6" t="s">
        <v>21</v>
      </c>
      <c r="I41" s="6">
        <v>90</v>
      </c>
      <c r="J41" s="6">
        <v>1825</v>
      </c>
      <c r="K41" s="6">
        <v>1</v>
      </c>
      <c r="L41" s="6">
        <v>0</v>
      </c>
      <c r="M41" s="6">
        <v>0</v>
      </c>
      <c r="N41" s="6">
        <v>0</v>
      </c>
      <c r="O41" s="6">
        <v>0</v>
      </c>
      <c r="P41" s="6" t="s">
        <v>74</v>
      </c>
      <c r="Q41" s="6" t="s">
        <v>75</v>
      </c>
      <c r="R41" s="6" t="s">
        <v>75</v>
      </c>
    </row>
    <row r="42" spans="1:18" ht="34.25" customHeight="1" x14ac:dyDescent="0.35">
      <c r="A42" s="6">
        <v>105</v>
      </c>
      <c r="B42" s="20">
        <v>45581</v>
      </c>
      <c r="C42" s="6" t="s">
        <v>74</v>
      </c>
      <c r="D42" s="6" t="s">
        <v>75</v>
      </c>
      <c r="E42" s="6" t="s">
        <v>84</v>
      </c>
      <c r="F42" s="6" t="s">
        <v>17</v>
      </c>
      <c r="G42" s="6" t="s">
        <v>88</v>
      </c>
      <c r="H42" s="6" t="s">
        <v>21</v>
      </c>
      <c r="I42" s="6">
        <v>10</v>
      </c>
      <c r="J42" s="6">
        <v>14</v>
      </c>
      <c r="K42" s="6">
        <v>1</v>
      </c>
      <c r="L42" s="6">
        <v>0</v>
      </c>
      <c r="M42" s="6">
        <v>0</v>
      </c>
      <c r="N42" s="6">
        <v>0</v>
      </c>
      <c r="O42" s="6">
        <v>0</v>
      </c>
      <c r="P42" s="6" t="s">
        <v>75</v>
      </c>
      <c r="Q42" s="6" t="s">
        <v>75</v>
      </c>
      <c r="R42" s="6" t="s">
        <v>75</v>
      </c>
    </row>
    <row r="43" spans="1:18" ht="34.25" customHeight="1" x14ac:dyDescent="0.35">
      <c r="A43" s="6">
        <v>106</v>
      </c>
      <c r="B43" s="20">
        <v>45583</v>
      </c>
      <c r="C43" s="6" t="s">
        <v>74</v>
      </c>
      <c r="D43" s="6" t="s">
        <v>75</v>
      </c>
      <c r="E43" s="6" t="s">
        <v>84</v>
      </c>
      <c r="F43" s="6" t="s">
        <v>85</v>
      </c>
      <c r="G43" s="6" t="s">
        <v>82</v>
      </c>
      <c r="H43" s="6" t="s">
        <v>24</v>
      </c>
      <c r="I43" s="6">
        <v>33</v>
      </c>
      <c r="J43" s="6">
        <v>19669.824000000001</v>
      </c>
      <c r="K43" s="6">
        <v>1</v>
      </c>
      <c r="L43" s="6" t="s">
        <v>136</v>
      </c>
      <c r="M43" s="6">
        <v>20</v>
      </c>
      <c r="N43" s="6">
        <v>0</v>
      </c>
      <c r="O43" s="6">
        <v>0</v>
      </c>
      <c r="P43" s="6" t="s">
        <v>75</v>
      </c>
      <c r="Q43" s="6" t="s">
        <v>75</v>
      </c>
      <c r="R43" s="6" t="s">
        <v>75</v>
      </c>
    </row>
    <row r="44" spans="1:18" ht="36.4" customHeight="1" x14ac:dyDescent="0.35">
      <c r="A44" s="6">
        <v>108</v>
      </c>
      <c r="B44" s="20">
        <v>45583</v>
      </c>
      <c r="C44" s="6" t="s">
        <v>74</v>
      </c>
      <c r="D44" s="6" t="s">
        <v>75</v>
      </c>
      <c r="E44" s="6" t="s">
        <v>84</v>
      </c>
      <c r="F44" s="6" t="s">
        <v>17</v>
      </c>
      <c r="G44" s="6" t="s">
        <v>76</v>
      </c>
      <c r="H44" s="6" t="s">
        <v>21</v>
      </c>
      <c r="I44" s="6">
        <v>2</v>
      </c>
      <c r="J44" s="6">
        <v>192</v>
      </c>
      <c r="K44" s="6">
        <v>1</v>
      </c>
      <c r="L44" s="6">
        <v>0</v>
      </c>
      <c r="M44" s="6">
        <v>0</v>
      </c>
      <c r="N44" s="6">
        <v>0</v>
      </c>
      <c r="O44" s="6">
        <v>0</v>
      </c>
      <c r="P44" s="6" t="s">
        <v>75</v>
      </c>
      <c r="Q44" s="6" t="s">
        <v>75</v>
      </c>
      <c r="R44" s="6" t="s">
        <v>75</v>
      </c>
    </row>
    <row r="45" spans="1:18" ht="36.4" customHeight="1" x14ac:dyDescent="0.35">
      <c r="A45" s="6">
        <v>114</v>
      </c>
      <c r="B45" s="20">
        <v>45622</v>
      </c>
      <c r="C45" s="6" t="s">
        <v>74</v>
      </c>
      <c r="D45" s="6" t="s">
        <v>75</v>
      </c>
      <c r="E45" s="6" t="s">
        <v>84</v>
      </c>
      <c r="F45" s="6" t="s">
        <v>85</v>
      </c>
      <c r="G45" s="6" t="s">
        <v>76</v>
      </c>
      <c r="H45" s="6" t="s">
        <v>21</v>
      </c>
      <c r="I45" s="6">
        <v>3</v>
      </c>
      <c r="J45" s="6">
        <v>192</v>
      </c>
      <c r="K45" s="6">
        <v>1</v>
      </c>
      <c r="L45" s="6" t="s">
        <v>138</v>
      </c>
      <c r="M45" s="6">
        <v>40</v>
      </c>
      <c r="N45" s="6">
        <v>0</v>
      </c>
      <c r="O45" s="6">
        <v>0</v>
      </c>
      <c r="P45" s="6" t="s">
        <v>74</v>
      </c>
      <c r="Q45" s="6" t="s">
        <v>75</v>
      </c>
      <c r="R45" s="6" t="s">
        <v>75</v>
      </c>
    </row>
    <row r="46" spans="1:18" ht="34.25" customHeight="1" x14ac:dyDescent="0.35">
      <c r="A46" s="6">
        <v>1</v>
      </c>
      <c r="B46" s="20">
        <v>45622</v>
      </c>
      <c r="C46" s="6" t="s">
        <v>74</v>
      </c>
      <c r="D46" s="6" t="s">
        <v>75</v>
      </c>
      <c r="E46" s="6" t="s">
        <v>84</v>
      </c>
      <c r="F46" s="6" t="s">
        <v>17</v>
      </c>
      <c r="G46" s="6" t="s">
        <v>82</v>
      </c>
      <c r="H46" s="6" t="s">
        <v>24</v>
      </c>
      <c r="I46" s="6">
        <v>44</v>
      </c>
      <c r="J46" s="6">
        <v>19669.824000000001</v>
      </c>
      <c r="K46" s="6">
        <v>1</v>
      </c>
      <c r="L46" s="6">
        <v>0</v>
      </c>
      <c r="M46" s="6">
        <v>0</v>
      </c>
      <c r="N46" s="6">
        <v>0</v>
      </c>
      <c r="O46" s="6">
        <v>0</v>
      </c>
      <c r="P46" s="6" t="s">
        <v>75</v>
      </c>
      <c r="Q46" s="6" t="s">
        <v>75</v>
      </c>
      <c r="R46" s="6" t="s">
        <v>75</v>
      </c>
    </row>
    <row r="47" spans="1:18" ht="34.25" customHeight="1" x14ac:dyDescent="0.35">
      <c r="A47" s="6">
        <v>116</v>
      </c>
      <c r="B47" s="20">
        <v>45622</v>
      </c>
      <c r="C47" s="6" t="s">
        <v>74</v>
      </c>
      <c r="D47" s="6" t="s">
        <v>75</v>
      </c>
      <c r="E47" s="6" t="s">
        <v>84</v>
      </c>
      <c r="F47" s="6" t="s">
        <v>99</v>
      </c>
      <c r="G47" s="6" t="s">
        <v>83</v>
      </c>
      <c r="H47" s="6" t="s">
        <v>24</v>
      </c>
      <c r="I47" s="6">
        <v>10</v>
      </c>
      <c r="J47" s="6">
        <v>1176</v>
      </c>
      <c r="K47" s="6">
        <v>1</v>
      </c>
      <c r="L47" s="6">
        <v>0</v>
      </c>
      <c r="M47" s="6">
        <v>0</v>
      </c>
      <c r="N47" s="6">
        <v>0</v>
      </c>
      <c r="O47" s="6">
        <v>0</v>
      </c>
      <c r="P47" s="6" t="s">
        <v>75</v>
      </c>
      <c r="Q47" s="6" t="s">
        <v>75</v>
      </c>
      <c r="R47" s="6" t="s">
        <v>75</v>
      </c>
    </row>
    <row r="48" spans="1:18" ht="34.25" customHeight="1" x14ac:dyDescent="0.35">
      <c r="A48" s="6">
        <v>117</v>
      </c>
      <c r="B48" s="20">
        <v>45624</v>
      </c>
      <c r="C48" s="6" t="s">
        <v>74</v>
      </c>
      <c r="D48" s="6" t="s">
        <v>75</v>
      </c>
      <c r="E48" s="6" t="s">
        <v>84</v>
      </c>
      <c r="F48" s="6" t="s">
        <v>99</v>
      </c>
      <c r="G48" s="6" t="s">
        <v>82</v>
      </c>
      <c r="H48" s="6" t="s">
        <v>24</v>
      </c>
      <c r="I48" s="6">
        <v>33</v>
      </c>
      <c r="J48" s="6">
        <v>19669.824000000001</v>
      </c>
      <c r="K48" s="6">
        <v>1</v>
      </c>
      <c r="L48" s="6" t="s">
        <v>138</v>
      </c>
      <c r="M48" s="6">
        <v>40</v>
      </c>
      <c r="N48" s="6">
        <v>0</v>
      </c>
      <c r="O48" s="6">
        <v>0</v>
      </c>
      <c r="P48" s="6" t="s">
        <v>74</v>
      </c>
      <c r="Q48" s="6" t="s">
        <v>75</v>
      </c>
      <c r="R48" s="6" t="s">
        <v>75</v>
      </c>
    </row>
    <row r="49" spans="1:18" ht="36.4" customHeight="1" x14ac:dyDescent="0.35">
      <c r="A49" s="6">
        <v>119</v>
      </c>
      <c r="B49" s="20">
        <v>45624</v>
      </c>
      <c r="C49" s="6" t="s">
        <v>74</v>
      </c>
      <c r="D49" s="6" t="s">
        <v>75</v>
      </c>
      <c r="E49" s="6" t="s">
        <v>84</v>
      </c>
      <c r="F49" s="6" t="s">
        <v>17</v>
      </c>
      <c r="G49" s="6" t="s">
        <v>76</v>
      </c>
      <c r="H49" s="6" t="s">
        <v>21</v>
      </c>
      <c r="I49" s="6">
        <v>10</v>
      </c>
      <c r="J49" s="6">
        <v>192</v>
      </c>
      <c r="K49" s="6">
        <v>1</v>
      </c>
      <c r="L49" s="6">
        <v>0</v>
      </c>
      <c r="M49" s="6">
        <v>0</v>
      </c>
      <c r="N49" s="6">
        <v>0</v>
      </c>
      <c r="O49" s="6">
        <v>0</v>
      </c>
      <c r="P49" s="6" t="s">
        <v>75</v>
      </c>
      <c r="Q49" s="6" t="s">
        <v>75</v>
      </c>
      <c r="R49" s="6" t="s">
        <v>75</v>
      </c>
    </row>
    <row r="50" spans="1:18" ht="34.25" customHeight="1" x14ac:dyDescent="0.35">
      <c r="A50" s="6">
        <v>120</v>
      </c>
      <c r="B50" s="20">
        <v>45624</v>
      </c>
      <c r="C50" s="6" t="s">
        <v>74</v>
      </c>
      <c r="D50" s="6" t="s">
        <v>75</v>
      </c>
      <c r="E50" s="6" t="s">
        <v>84</v>
      </c>
      <c r="F50" s="6" t="s">
        <v>17</v>
      </c>
      <c r="G50" s="6" t="s">
        <v>83</v>
      </c>
      <c r="H50" s="6" t="s">
        <v>24</v>
      </c>
      <c r="I50" s="6">
        <v>40</v>
      </c>
      <c r="J50" s="6">
        <v>1176</v>
      </c>
      <c r="K50" s="6">
        <v>1</v>
      </c>
      <c r="L50" s="6">
        <v>0</v>
      </c>
      <c r="M50" s="6">
        <v>0</v>
      </c>
      <c r="N50" s="6">
        <v>0</v>
      </c>
      <c r="O50" s="6">
        <v>0</v>
      </c>
      <c r="P50" s="6" t="s">
        <v>75</v>
      </c>
      <c r="Q50" s="6" t="s">
        <v>75</v>
      </c>
      <c r="R50" s="6" t="s">
        <v>75</v>
      </c>
    </row>
    <row r="51" spans="1:18" ht="34.25" customHeight="1" x14ac:dyDescent="0.35">
      <c r="A51" s="6">
        <v>125</v>
      </c>
      <c r="B51" s="20">
        <v>45630</v>
      </c>
      <c r="C51" s="6" t="s">
        <v>74</v>
      </c>
      <c r="D51" s="6" t="s">
        <v>75</v>
      </c>
      <c r="E51" s="6" t="s">
        <v>84</v>
      </c>
      <c r="F51" s="6" t="s">
        <v>81</v>
      </c>
      <c r="G51" s="6" t="s">
        <v>82</v>
      </c>
      <c r="H51" s="6" t="s">
        <v>24</v>
      </c>
      <c r="I51" s="6">
        <v>65</v>
      </c>
      <c r="J51" s="6">
        <v>19669.824000000001</v>
      </c>
      <c r="K51" s="6">
        <v>1</v>
      </c>
      <c r="L51" s="6" t="s">
        <v>140</v>
      </c>
      <c r="M51" s="6">
        <v>50</v>
      </c>
      <c r="N51" s="6">
        <v>0</v>
      </c>
      <c r="O51" s="6">
        <v>0</v>
      </c>
      <c r="P51" s="6" t="s">
        <v>74</v>
      </c>
      <c r="Q51" s="6" t="s">
        <v>75</v>
      </c>
      <c r="R51" s="6" t="s">
        <v>75</v>
      </c>
    </row>
    <row r="52" spans="1:18" ht="34.25" customHeight="1" x14ac:dyDescent="0.35">
      <c r="A52" s="6">
        <v>127</v>
      </c>
      <c r="B52" s="20">
        <v>45631</v>
      </c>
      <c r="C52" s="6" t="s">
        <v>74</v>
      </c>
      <c r="D52" s="6" t="s">
        <v>75</v>
      </c>
      <c r="E52" s="6" t="s">
        <v>84</v>
      </c>
      <c r="F52" s="6" t="s">
        <v>81</v>
      </c>
      <c r="G52" s="6" t="s">
        <v>82</v>
      </c>
      <c r="H52" s="6" t="s">
        <v>24</v>
      </c>
      <c r="I52" s="6">
        <v>55</v>
      </c>
      <c r="J52" s="6">
        <v>19669.824000000001</v>
      </c>
      <c r="K52" s="6">
        <v>1</v>
      </c>
      <c r="L52" s="6" t="s">
        <v>140</v>
      </c>
      <c r="M52" s="6">
        <v>50</v>
      </c>
      <c r="N52" s="6">
        <v>0</v>
      </c>
      <c r="O52" s="6">
        <v>0</v>
      </c>
      <c r="P52" s="6" t="s">
        <v>74</v>
      </c>
      <c r="Q52" s="6" t="s">
        <v>75</v>
      </c>
      <c r="R52" s="6" t="s">
        <v>75</v>
      </c>
    </row>
    <row r="53" spans="1:18" ht="34.25" customHeight="1" x14ac:dyDescent="0.35">
      <c r="A53" s="6">
        <v>134</v>
      </c>
      <c r="B53" s="20">
        <v>45666</v>
      </c>
      <c r="C53" s="6" t="s">
        <v>74</v>
      </c>
      <c r="D53" s="6" t="s">
        <v>75</v>
      </c>
      <c r="E53" s="6" t="s">
        <v>84</v>
      </c>
      <c r="F53" s="6" t="s">
        <v>99</v>
      </c>
      <c r="G53" s="6" t="s">
        <v>82</v>
      </c>
      <c r="H53" s="6" t="s">
        <v>24</v>
      </c>
      <c r="I53" s="6">
        <v>80</v>
      </c>
      <c r="J53" s="6">
        <v>19669.824000000001</v>
      </c>
      <c r="K53" s="6">
        <v>1</v>
      </c>
      <c r="L53" s="6">
        <v>0</v>
      </c>
      <c r="M53" s="6">
        <v>0</v>
      </c>
      <c r="N53" s="6">
        <v>0</v>
      </c>
      <c r="O53" s="6">
        <v>0</v>
      </c>
      <c r="P53" s="6" t="s">
        <v>74</v>
      </c>
      <c r="Q53" s="6" t="s">
        <v>75</v>
      </c>
      <c r="R53" s="6" t="s">
        <v>75</v>
      </c>
    </row>
    <row r="54" spans="1:18" ht="36.4" customHeight="1" x14ac:dyDescent="0.35">
      <c r="A54" s="6">
        <v>135</v>
      </c>
      <c r="B54" s="20">
        <v>45666</v>
      </c>
      <c r="C54" s="6" t="s">
        <v>87</v>
      </c>
      <c r="D54" s="6" t="s">
        <v>75</v>
      </c>
      <c r="E54" s="6" t="s">
        <v>20</v>
      </c>
      <c r="F54" s="6" t="s">
        <v>17</v>
      </c>
      <c r="G54" s="6" t="s">
        <v>76</v>
      </c>
      <c r="H54" s="6" t="s">
        <v>21</v>
      </c>
      <c r="I54" s="6">
        <v>10</v>
      </c>
      <c r="J54" s="6">
        <v>192</v>
      </c>
      <c r="K54" s="6">
        <v>1</v>
      </c>
      <c r="L54" s="6">
        <v>0</v>
      </c>
      <c r="M54" s="6">
        <v>0</v>
      </c>
      <c r="N54" s="6">
        <v>0</v>
      </c>
      <c r="O54" s="6">
        <v>0</v>
      </c>
      <c r="P54" s="6" t="s">
        <v>75</v>
      </c>
      <c r="Q54" s="6" t="s">
        <v>75</v>
      </c>
      <c r="R54" s="6" t="s">
        <v>75</v>
      </c>
    </row>
    <row r="55" spans="1:18" ht="36.4" customHeight="1" x14ac:dyDescent="0.35">
      <c r="A55" s="6">
        <v>140</v>
      </c>
      <c r="B55" s="20">
        <v>45679</v>
      </c>
      <c r="C55" s="6" t="s">
        <v>74</v>
      </c>
      <c r="D55" s="6" t="s">
        <v>75</v>
      </c>
      <c r="E55" s="6" t="s">
        <v>84</v>
      </c>
      <c r="F55" s="6" t="s">
        <v>81</v>
      </c>
      <c r="G55" s="6" t="s">
        <v>76</v>
      </c>
      <c r="H55" s="6" t="s">
        <v>21</v>
      </c>
      <c r="I55" s="6">
        <v>4</v>
      </c>
      <c r="J55" s="6">
        <v>192</v>
      </c>
      <c r="K55" s="6">
        <v>1</v>
      </c>
      <c r="L55" s="6" t="s">
        <v>137</v>
      </c>
      <c r="M55" s="6">
        <v>30</v>
      </c>
      <c r="N55" s="6">
        <v>0</v>
      </c>
      <c r="O55" s="6">
        <v>0</v>
      </c>
      <c r="P55" s="6" t="s">
        <v>75</v>
      </c>
      <c r="Q55" s="6" t="s">
        <v>75</v>
      </c>
      <c r="R55" s="6" t="s">
        <v>75</v>
      </c>
    </row>
    <row r="56" spans="1:18" ht="34.25" customHeight="1" x14ac:dyDescent="0.35">
      <c r="A56" s="6">
        <v>142</v>
      </c>
      <c r="B56" s="20">
        <v>45679</v>
      </c>
      <c r="C56" s="6" t="s">
        <v>74</v>
      </c>
      <c r="D56" s="6" t="s">
        <v>75</v>
      </c>
      <c r="E56" s="6" t="s">
        <v>84</v>
      </c>
      <c r="F56" s="6" t="s">
        <v>17</v>
      </c>
      <c r="G56" s="6" t="s">
        <v>82</v>
      </c>
      <c r="H56" s="6" t="s">
        <v>24</v>
      </c>
      <c r="I56" s="6">
        <v>100</v>
      </c>
      <c r="J56" s="6">
        <v>19669.824000000001</v>
      </c>
      <c r="K56" s="6">
        <v>1</v>
      </c>
      <c r="L56" s="6" t="s">
        <v>136</v>
      </c>
      <c r="M56" s="6">
        <v>20</v>
      </c>
      <c r="N56" s="6">
        <v>0</v>
      </c>
      <c r="O56" s="6">
        <v>0</v>
      </c>
      <c r="P56" s="6" t="s">
        <v>75</v>
      </c>
      <c r="Q56" s="6" t="s">
        <v>75</v>
      </c>
      <c r="R56" s="6" t="s">
        <v>75</v>
      </c>
    </row>
    <row r="57" spans="1:18" ht="36.4" customHeight="1" x14ac:dyDescent="0.35">
      <c r="A57" s="6">
        <v>145</v>
      </c>
      <c r="B57" s="20">
        <v>45686</v>
      </c>
      <c r="C57" s="6" t="s">
        <v>74</v>
      </c>
      <c r="D57" s="6" t="s">
        <v>75</v>
      </c>
      <c r="E57" s="6" t="s">
        <v>84</v>
      </c>
      <c r="F57" s="6" t="s">
        <v>81</v>
      </c>
      <c r="G57" s="6" t="s">
        <v>76</v>
      </c>
      <c r="H57" s="6" t="s">
        <v>21</v>
      </c>
      <c r="I57" s="6">
        <v>4</v>
      </c>
      <c r="J57" s="6">
        <v>192</v>
      </c>
      <c r="K57" s="6">
        <v>1</v>
      </c>
      <c r="L57" s="6" t="s">
        <v>136</v>
      </c>
      <c r="M57" s="6">
        <v>20</v>
      </c>
      <c r="N57" s="6">
        <v>0</v>
      </c>
      <c r="O57" s="6">
        <v>0</v>
      </c>
      <c r="P57" s="6" t="s">
        <v>75</v>
      </c>
      <c r="Q57" s="6" t="s">
        <v>75</v>
      </c>
      <c r="R57" s="6" t="s">
        <v>75</v>
      </c>
    </row>
    <row r="58" spans="1:18" ht="34.25" customHeight="1" x14ac:dyDescent="0.35">
      <c r="A58" s="6">
        <v>147</v>
      </c>
      <c r="B58" s="20">
        <v>45686</v>
      </c>
      <c r="C58" s="6" t="s">
        <v>74</v>
      </c>
      <c r="D58" s="6" t="s">
        <v>75</v>
      </c>
      <c r="E58" s="6" t="s">
        <v>84</v>
      </c>
      <c r="F58" s="6" t="s">
        <v>17</v>
      </c>
      <c r="G58" s="6" t="s">
        <v>79</v>
      </c>
      <c r="H58" s="6" t="s">
        <v>21</v>
      </c>
      <c r="I58" s="6">
        <v>6</v>
      </c>
      <c r="J58" s="6">
        <v>54</v>
      </c>
      <c r="K58" s="6">
        <v>1</v>
      </c>
      <c r="L58" s="6">
        <v>0</v>
      </c>
      <c r="M58" s="6">
        <v>0</v>
      </c>
      <c r="N58" s="6">
        <v>0</v>
      </c>
      <c r="O58" s="6">
        <v>0</v>
      </c>
      <c r="P58" s="6" t="s">
        <v>75</v>
      </c>
      <c r="Q58" s="6" t="s">
        <v>75</v>
      </c>
      <c r="R58" s="6" t="s">
        <v>75</v>
      </c>
    </row>
    <row r="59" spans="1:18" ht="34.25" customHeight="1" x14ac:dyDescent="0.35">
      <c r="A59" s="6">
        <v>147</v>
      </c>
      <c r="B59" s="20">
        <v>45686</v>
      </c>
      <c r="C59" s="6" t="s">
        <v>74</v>
      </c>
      <c r="D59" s="6" t="s">
        <v>75</v>
      </c>
      <c r="E59" s="6" t="s">
        <v>84</v>
      </c>
      <c r="F59" s="6" t="s">
        <v>17</v>
      </c>
      <c r="G59" s="6" t="s">
        <v>82</v>
      </c>
      <c r="H59" s="6" t="s">
        <v>24</v>
      </c>
      <c r="I59" s="6">
        <v>100</v>
      </c>
      <c r="J59" s="6">
        <v>19669.824000000001</v>
      </c>
      <c r="K59" s="6">
        <v>1</v>
      </c>
      <c r="L59" s="6">
        <v>0</v>
      </c>
      <c r="M59" s="6">
        <v>0</v>
      </c>
      <c r="N59" s="6">
        <v>0</v>
      </c>
      <c r="O59" s="6">
        <v>0</v>
      </c>
      <c r="P59" s="6" t="s">
        <v>75</v>
      </c>
      <c r="Q59" s="6" t="s">
        <v>75</v>
      </c>
      <c r="R59" s="6" t="s">
        <v>75</v>
      </c>
    </row>
    <row r="60" spans="1:18" ht="34.25" customHeight="1" x14ac:dyDescent="0.35">
      <c r="A60" s="6">
        <v>151</v>
      </c>
      <c r="B60" s="20">
        <v>45699</v>
      </c>
      <c r="C60" s="6" t="s">
        <v>74</v>
      </c>
      <c r="D60" s="6" t="s">
        <v>75</v>
      </c>
      <c r="E60" s="6" t="s">
        <v>84</v>
      </c>
      <c r="F60" s="6" t="s">
        <v>81</v>
      </c>
      <c r="G60" s="6" t="s">
        <v>82</v>
      </c>
      <c r="H60" s="6" t="s">
        <v>24</v>
      </c>
      <c r="I60" s="6">
        <v>90</v>
      </c>
      <c r="J60" s="6">
        <v>19669.824000000001</v>
      </c>
      <c r="K60" s="6">
        <v>1</v>
      </c>
      <c r="L60" s="6">
        <v>0</v>
      </c>
      <c r="M60" s="6">
        <v>0</v>
      </c>
      <c r="N60" s="6">
        <v>0</v>
      </c>
      <c r="O60" s="6">
        <v>0</v>
      </c>
      <c r="P60" s="6" t="s">
        <v>74</v>
      </c>
      <c r="Q60" s="6" t="s">
        <v>75</v>
      </c>
      <c r="R60" s="6" t="s">
        <v>75</v>
      </c>
    </row>
    <row r="61" spans="1:18" ht="36.4" customHeight="1" x14ac:dyDescent="0.35">
      <c r="A61" s="6">
        <v>152</v>
      </c>
      <c r="B61" s="20">
        <v>45706</v>
      </c>
      <c r="C61" s="6" t="s">
        <v>74</v>
      </c>
      <c r="D61" s="6" t="s">
        <v>75</v>
      </c>
      <c r="E61" s="6" t="s">
        <v>84</v>
      </c>
      <c r="F61" s="6" t="s">
        <v>81</v>
      </c>
      <c r="G61" s="6" t="s">
        <v>76</v>
      </c>
      <c r="H61" s="6" t="s">
        <v>21</v>
      </c>
      <c r="I61" s="6">
        <v>5</v>
      </c>
      <c r="J61" s="6">
        <v>192</v>
      </c>
      <c r="K61" s="6">
        <v>1</v>
      </c>
      <c r="L61" s="6" t="s">
        <v>138</v>
      </c>
      <c r="M61" s="6">
        <v>40</v>
      </c>
      <c r="N61" s="6">
        <v>0</v>
      </c>
      <c r="O61" s="6">
        <v>0</v>
      </c>
      <c r="P61" s="6" t="s">
        <v>74</v>
      </c>
      <c r="Q61" s="6" t="s">
        <v>75</v>
      </c>
      <c r="R61" s="6" t="s">
        <v>75</v>
      </c>
    </row>
    <row r="62" spans="1:18" ht="36.4" customHeight="1" x14ac:dyDescent="0.35">
      <c r="A62" s="6">
        <v>154</v>
      </c>
      <c r="B62" s="20">
        <v>45819</v>
      </c>
      <c r="C62" s="6" t="s">
        <v>87</v>
      </c>
      <c r="D62" s="6" t="s">
        <v>75</v>
      </c>
      <c r="E62" s="6" t="s">
        <v>20</v>
      </c>
      <c r="F62" s="6" t="s">
        <v>17</v>
      </c>
      <c r="G62" s="6" t="s">
        <v>76</v>
      </c>
      <c r="H62" s="6" t="s">
        <v>21</v>
      </c>
      <c r="I62" s="6">
        <v>22</v>
      </c>
      <c r="J62" s="6">
        <v>192</v>
      </c>
      <c r="K62" s="6">
        <v>1</v>
      </c>
      <c r="L62" s="6">
        <v>0</v>
      </c>
      <c r="M62" s="6">
        <v>0</v>
      </c>
      <c r="N62" s="6">
        <v>0</v>
      </c>
      <c r="O62" s="6">
        <v>0</v>
      </c>
      <c r="P62" s="6" t="s">
        <v>87</v>
      </c>
      <c r="Q62" s="6" t="s">
        <v>75</v>
      </c>
      <c r="R62" s="6" t="s">
        <v>75</v>
      </c>
    </row>
    <row r="63" spans="1:18" ht="34.25" customHeight="1" x14ac:dyDescent="0.35">
      <c r="A63" s="6">
        <v>154</v>
      </c>
      <c r="B63" s="20">
        <v>45819</v>
      </c>
      <c r="C63" s="6" t="s">
        <v>87</v>
      </c>
      <c r="D63" s="6" t="s">
        <v>75</v>
      </c>
      <c r="E63" s="6" t="s">
        <v>20</v>
      </c>
      <c r="F63" s="6" t="s">
        <v>17</v>
      </c>
      <c r="G63" s="6" t="s">
        <v>79</v>
      </c>
      <c r="H63" s="6" t="s">
        <v>21</v>
      </c>
      <c r="I63" s="6">
        <v>34</v>
      </c>
      <c r="J63" s="6">
        <v>54</v>
      </c>
      <c r="K63" s="6">
        <v>1</v>
      </c>
      <c r="L63" s="6">
        <v>0</v>
      </c>
      <c r="M63" s="6">
        <v>0</v>
      </c>
      <c r="N63" s="6">
        <v>0</v>
      </c>
      <c r="O63" s="6">
        <v>0</v>
      </c>
      <c r="P63" s="6" t="s">
        <v>87</v>
      </c>
      <c r="Q63" s="6" t="s">
        <v>75</v>
      </c>
      <c r="R63" s="6" t="s">
        <v>75</v>
      </c>
    </row>
    <row r="64" spans="1:18" ht="34.25" customHeight="1" x14ac:dyDescent="0.35">
      <c r="A64" s="6">
        <v>154</v>
      </c>
      <c r="B64" s="20">
        <v>45819</v>
      </c>
      <c r="C64" s="6" t="s">
        <v>87</v>
      </c>
      <c r="D64" s="6" t="s">
        <v>75</v>
      </c>
      <c r="E64" s="6" t="s">
        <v>20</v>
      </c>
      <c r="F64" s="6" t="s">
        <v>17</v>
      </c>
      <c r="G64" s="6" t="s">
        <v>82</v>
      </c>
      <c r="H64" s="6" t="s">
        <v>24</v>
      </c>
      <c r="I64" s="6">
        <v>44</v>
      </c>
      <c r="J64" s="6">
        <v>19669.824000000001</v>
      </c>
      <c r="K64" s="6">
        <v>1</v>
      </c>
      <c r="L64" s="6">
        <v>0</v>
      </c>
      <c r="M64" s="6">
        <v>0</v>
      </c>
      <c r="N64" s="6">
        <v>0</v>
      </c>
      <c r="O64" s="6">
        <v>0</v>
      </c>
      <c r="P64" s="6" t="s">
        <v>87</v>
      </c>
      <c r="Q64" s="6" t="s">
        <v>75</v>
      </c>
      <c r="R64" s="6" t="s">
        <v>75</v>
      </c>
    </row>
    <row r="65" spans="1:18" ht="34.25" customHeight="1" x14ac:dyDescent="0.35">
      <c r="A65" s="6">
        <v>157</v>
      </c>
      <c r="B65" s="20">
        <v>45819</v>
      </c>
      <c r="C65" s="6" t="s">
        <v>87</v>
      </c>
      <c r="D65" s="6" t="s">
        <v>75</v>
      </c>
      <c r="E65" s="6" t="s">
        <v>20</v>
      </c>
      <c r="F65" s="6" t="s">
        <v>17</v>
      </c>
      <c r="G65" s="6" t="s">
        <v>88</v>
      </c>
      <c r="H65" s="6" t="s">
        <v>21</v>
      </c>
      <c r="I65" s="6">
        <v>4</v>
      </c>
      <c r="J65" s="6">
        <v>14</v>
      </c>
      <c r="K65" s="6">
        <v>1</v>
      </c>
      <c r="L65" s="6">
        <v>0</v>
      </c>
      <c r="M65" s="6">
        <v>0</v>
      </c>
      <c r="N65" s="6">
        <v>0</v>
      </c>
      <c r="O65" s="6">
        <v>0</v>
      </c>
      <c r="P65" s="6" t="s">
        <v>87</v>
      </c>
      <c r="Q65" s="6" t="s">
        <v>75</v>
      </c>
      <c r="R65" s="6" t="s">
        <v>75</v>
      </c>
    </row>
    <row r="66" spans="1:18" ht="36.4" customHeight="1" x14ac:dyDescent="0.35">
      <c r="A66" s="6">
        <v>157</v>
      </c>
      <c r="B66" s="20">
        <v>45819</v>
      </c>
      <c r="C66" s="6" t="s">
        <v>87</v>
      </c>
      <c r="D66" s="6" t="s">
        <v>75</v>
      </c>
      <c r="E66" s="6" t="s">
        <v>20</v>
      </c>
      <c r="F66" s="6" t="s">
        <v>17</v>
      </c>
      <c r="G66" s="6" t="s">
        <v>76</v>
      </c>
      <c r="H66" s="6" t="s">
        <v>21</v>
      </c>
      <c r="I66" s="6">
        <v>7</v>
      </c>
      <c r="J66" s="6">
        <v>192</v>
      </c>
      <c r="K66" s="6">
        <v>1</v>
      </c>
      <c r="L66" s="6">
        <v>0</v>
      </c>
      <c r="M66" s="6">
        <v>0</v>
      </c>
      <c r="N66" s="6">
        <v>0</v>
      </c>
      <c r="O66" s="6">
        <v>0</v>
      </c>
      <c r="P66" s="6" t="s">
        <v>87</v>
      </c>
      <c r="Q66" s="6" t="s">
        <v>75</v>
      </c>
      <c r="R66" s="6" t="s">
        <v>75</v>
      </c>
    </row>
    <row r="67" spans="1:18" ht="34.25" customHeight="1" x14ac:dyDescent="0.35">
      <c r="A67" s="6">
        <v>160</v>
      </c>
      <c r="B67" s="20">
        <v>45824</v>
      </c>
      <c r="C67" s="6" t="s">
        <v>87</v>
      </c>
      <c r="D67" s="6" t="s">
        <v>75</v>
      </c>
      <c r="E67" s="6" t="s">
        <v>20</v>
      </c>
      <c r="F67" s="6" t="s">
        <v>17</v>
      </c>
      <c r="G67" s="6" t="s">
        <v>82</v>
      </c>
      <c r="H67" s="6" t="s">
        <v>24</v>
      </c>
      <c r="I67" s="6">
        <v>135</v>
      </c>
      <c r="J67" s="6">
        <v>19669.824000000001</v>
      </c>
      <c r="K67" s="6">
        <v>1</v>
      </c>
      <c r="L67" s="6">
        <v>0</v>
      </c>
      <c r="M67" s="6">
        <v>0</v>
      </c>
      <c r="N67" s="6">
        <v>0</v>
      </c>
      <c r="O67" s="6">
        <v>0</v>
      </c>
      <c r="P67" s="6" t="s">
        <v>75</v>
      </c>
      <c r="Q67" s="6" t="s">
        <v>75</v>
      </c>
      <c r="R67" s="6" t="s">
        <v>75</v>
      </c>
    </row>
    <row r="68" spans="1:18" ht="34.25" customHeight="1" x14ac:dyDescent="0.35">
      <c r="A68" s="6">
        <v>162</v>
      </c>
      <c r="B68" s="20">
        <v>45825</v>
      </c>
      <c r="C68" s="6" t="s">
        <v>87</v>
      </c>
      <c r="D68" s="6" t="s">
        <v>75</v>
      </c>
      <c r="E68" s="6" t="s">
        <v>20</v>
      </c>
      <c r="F68" s="6" t="s">
        <v>17</v>
      </c>
      <c r="G68" s="6" t="s">
        <v>119</v>
      </c>
      <c r="H68" s="6" t="s">
        <v>24</v>
      </c>
      <c r="I68" s="6">
        <v>125</v>
      </c>
      <c r="J68" s="6">
        <v>4884</v>
      </c>
      <c r="K68" s="6">
        <v>1</v>
      </c>
      <c r="L68" s="6">
        <v>0</v>
      </c>
      <c r="M68" s="6">
        <v>0</v>
      </c>
      <c r="N68" s="6">
        <v>0</v>
      </c>
      <c r="O68" s="6">
        <v>0</v>
      </c>
      <c r="P68" s="6" t="s">
        <v>87</v>
      </c>
      <c r="Q68" s="6" t="s">
        <v>75</v>
      </c>
      <c r="R68" s="6" t="s">
        <v>75</v>
      </c>
    </row>
    <row r="69" spans="1:18" ht="34.25" customHeight="1" x14ac:dyDescent="0.35">
      <c r="A69" s="6">
        <v>164</v>
      </c>
      <c r="B69" s="20">
        <v>45825</v>
      </c>
      <c r="C69" s="6" t="s">
        <v>87</v>
      </c>
      <c r="D69" s="6" t="s">
        <v>75</v>
      </c>
      <c r="E69" s="6" t="s">
        <v>20</v>
      </c>
      <c r="F69" s="6" t="s">
        <v>17</v>
      </c>
      <c r="G69" s="6" t="s">
        <v>80</v>
      </c>
      <c r="H69" s="6" t="s">
        <v>24</v>
      </c>
      <c r="I69" s="6">
        <v>200</v>
      </c>
      <c r="J69" s="6">
        <v>19669.824000000001</v>
      </c>
      <c r="K69" s="6">
        <v>1</v>
      </c>
      <c r="L69" s="6">
        <v>0</v>
      </c>
      <c r="M69" s="6">
        <v>0</v>
      </c>
      <c r="N69" s="6">
        <v>0</v>
      </c>
      <c r="O69" s="6">
        <v>0</v>
      </c>
      <c r="P69" s="6" t="s">
        <v>75</v>
      </c>
      <c r="Q69" s="6" t="s">
        <v>75</v>
      </c>
      <c r="R69" s="6" t="s">
        <v>75</v>
      </c>
    </row>
    <row r="70" spans="1:18" ht="34.25" customHeight="1" x14ac:dyDescent="0.35">
      <c r="A70" s="6">
        <v>167</v>
      </c>
      <c r="B70" s="20">
        <v>45828</v>
      </c>
      <c r="C70" s="6" t="s">
        <v>87</v>
      </c>
      <c r="D70" s="6" t="s">
        <v>75</v>
      </c>
      <c r="E70" s="6" t="s">
        <v>20</v>
      </c>
      <c r="F70" s="6" t="s">
        <v>17</v>
      </c>
      <c r="G70" s="6" t="s">
        <v>80</v>
      </c>
      <c r="H70" s="6" t="s">
        <v>24</v>
      </c>
      <c r="I70" s="6">
        <v>143</v>
      </c>
      <c r="J70" s="6">
        <v>19669.824000000001</v>
      </c>
      <c r="K70" s="6">
        <v>1</v>
      </c>
      <c r="L70" s="6">
        <v>0</v>
      </c>
      <c r="M70" s="6">
        <v>0</v>
      </c>
      <c r="N70" s="6">
        <v>0</v>
      </c>
      <c r="O70" s="6">
        <v>0</v>
      </c>
      <c r="P70" s="6" t="s">
        <v>75</v>
      </c>
      <c r="Q70" s="6" t="s">
        <v>75</v>
      </c>
      <c r="R70" s="6" t="s">
        <v>75</v>
      </c>
    </row>
    <row r="71" spans="1:18" ht="34.25" customHeight="1" x14ac:dyDescent="0.35">
      <c r="A71" s="6">
        <v>167</v>
      </c>
      <c r="B71" s="20">
        <v>45828</v>
      </c>
      <c r="C71" s="6" t="s">
        <v>87</v>
      </c>
      <c r="D71" s="6" t="s">
        <v>75</v>
      </c>
      <c r="E71" s="6" t="s">
        <v>20</v>
      </c>
      <c r="F71" s="6" t="s">
        <v>17</v>
      </c>
      <c r="G71" s="6" t="s">
        <v>82</v>
      </c>
      <c r="H71" s="6" t="s">
        <v>24</v>
      </c>
      <c r="I71" s="6">
        <v>175</v>
      </c>
      <c r="J71" s="6">
        <v>19669.824000000001</v>
      </c>
      <c r="K71" s="6">
        <v>1</v>
      </c>
      <c r="L71" s="6">
        <v>0</v>
      </c>
      <c r="M71" s="6">
        <v>0</v>
      </c>
      <c r="N71" s="6">
        <v>0</v>
      </c>
      <c r="O71" s="6">
        <v>0</v>
      </c>
      <c r="P71" s="6" t="s">
        <v>75</v>
      </c>
      <c r="Q71" s="6" t="s">
        <v>75</v>
      </c>
      <c r="R71" s="6" t="s">
        <v>75</v>
      </c>
    </row>
    <row r="72" spans="1:18" ht="34.25" customHeight="1" x14ac:dyDescent="0.35">
      <c r="A72" s="6">
        <v>167</v>
      </c>
      <c r="B72" s="20">
        <v>45828</v>
      </c>
      <c r="C72" s="6" t="s">
        <v>87</v>
      </c>
      <c r="D72" s="6" t="s">
        <v>75</v>
      </c>
      <c r="E72" s="6" t="s">
        <v>20</v>
      </c>
      <c r="F72" s="6" t="s">
        <v>17</v>
      </c>
      <c r="G72" s="6" t="s">
        <v>83</v>
      </c>
      <c r="H72" s="6" t="s">
        <v>24</v>
      </c>
      <c r="I72" s="6">
        <v>445</v>
      </c>
      <c r="J72" s="6">
        <v>1176</v>
      </c>
      <c r="K72" s="6">
        <v>1</v>
      </c>
      <c r="L72" s="6">
        <v>0</v>
      </c>
      <c r="M72" s="6">
        <v>0</v>
      </c>
      <c r="N72" s="6">
        <v>0</v>
      </c>
      <c r="O72" s="6">
        <v>0</v>
      </c>
      <c r="P72" s="6" t="s">
        <v>75</v>
      </c>
      <c r="Q72" s="6" t="s">
        <v>75</v>
      </c>
      <c r="R72" s="6" t="s">
        <v>75</v>
      </c>
    </row>
    <row r="73" spans="1:18" ht="34.25" customHeight="1" x14ac:dyDescent="0.35">
      <c r="A73" s="6">
        <v>170</v>
      </c>
      <c r="B73" s="20">
        <v>45839</v>
      </c>
      <c r="C73" s="6" t="s">
        <v>87</v>
      </c>
      <c r="D73" s="6" t="s">
        <v>75</v>
      </c>
      <c r="E73" s="6" t="s">
        <v>20</v>
      </c>
      <c r="F73" s="6" t="s">
        <v>17</v>
      </c>
      <c r="G73" s="6" t="s">
        <v>80</v>
      </c>
      <c r="H73" s="6" t="s">
        <v>24</v>
      </c>
      <c r="I73" s="6">
        <v>354</v>
      </c>
      <c r="J73" s="6">
        <v>19669.824000000001</v>
      </c>
      <c r="K73" s="6">
        <v>1</v>
      </c>
      <c r="L73" s="6">
        <v>0</v>
      </c>
      <c r="M73" s="6">
        <v>0</v>
      </c>
      <c r="N73" s="6">
        <v>0</v>
      </c>
      <c r="O73" s="6">
        <v>0</v>
      </c>
      <c r="P73" s="6" t="s">
        <v>75</v>
      </c>
      <c r="Q73" s="6" t="s">
        <v>75</v>
      </c>
      <c r="R73" s="6" t="s">
        <v>75</v>
      </c>
    </row>
    <row r="74" spans="1:18" ht="34.25" customHeight="1" x14ac:dyDescent="0.35">
      <c r="A74" s="6">
        <v>170</v>
      </c>
      <c r="B74" s="20">
        <v>45839</v>
      </c>
      <c r="C74" s="6" t="s">
        <v>87</v>
      </c>
      <c r="D74" s="6" t="s">
        <v>75</v>
      </c>
      <c r="E74" s="6" t="s">
        <v>20</v>
      </c>
      <c r="F74" s="6" t="s">
        <v>17</v>
      </c>
      <c r="G74" s="6" t="s">
        <v>107</v>
      </c>
      <c r="H74" s="6" t="s">
        <v>21</v>
      </c>
      <c r="I74" s="6">
        <v>455</v>
      </c>
      <c r="J74" s="6">
        <v>1825</v>
      </c>
      <c r="K74" s="6">
        <v>1</v>
      </c>
      <c r="L74" s="6">
        <v>0</v>
      </c>
      <c r="M74" s="6">
        <v>0</v>
      </c>
      <c r="N74" s="6">
        <v>0</v>
      </c>
      <c r="O74" s="6">
        <v>0</v>
      </c>
      <c r="P74" s="6" t="s">
        <v>75</v>
      </c>
      <c r="Q74" s="6" t="s">
        <v>75</v>
      </c>
      <c r="R74" s="6" t="s">
        <v>75</v>
      </c>
    </row>
    <row r="75" spans="1:18" ht="34.25" customHeight="1" x14ac:dyDescent="0.35">
      <c r="A75" s="6">
        <v>171</v>
      </c>
      <c r="B75" s="20">
        <v>45839</v>
      </c>
      <c r="C75" s="6" t="s">
        <v>87</v>
      </c>
      <c r="D75" s="6" t="s">
        <v>75</v>
      </c>
      <c r="E75" s="6" t="s">
        <v>20</v>
      </c>
      <c r="F75" s="6" t="s">
        <v>17</v>
      </c>
      <c r="G75" s="6" t="s">
        <v>80</v>
      </c>
      <c r="H75" s="6" t="s">
        <v>24</v>
      </c>
      <c r="I75" s="6">
        <v>55</v>
      </c>
      <c r="J75" s="6">
        <v>19669.824000000001</v>
      </c>
      <c r="K75" s="6">
        <v>1</v>
      </c>
      <c r="L75" s="6">
        <v>0</v>
      </c>
      <c r="M75" s="6">
        <v>0</v>
      </c>
      <c r="N75" s="6">
        <v>0</v>
      </c>
      <c r="O75" s="6">
        <v>0</v>
      </c>
      <c r="P75" s="6" t="s">
        <v>75</v>
      </c>
      <c r="Q75" s="6" t="s">
        <v>75</v>
      </c>
      <c r="R75" s="6" t="s">
        <v>75</v>
      </c>
    </row>
    <row r="76" spans="1:18" ht="34.25" customHeight="1" x14ac:dyDescent="0.35">
      <c r="A76" s="6">
        <v>171</v>
      </c>
      <c r="B76" s="20">
        <v>45839</v>
      </c>
      <c r="C76" s="6" t="s">
        <v>87</v>
      </c>
      <c r="D76" s="6" t="s">
        <v>75</v>
      </c>
      <c r="E76" s="6" t="s">
        <v>20</v>
      </c>
      <c r="F76" s="6" t="s">
        <v>17</v>
      </c>
      <c r="G76" s="6" t="s">
        <v>82</v>
      </c>
      <c r="H76" s="6" t="s">
        <v>24</v>
      </c>
      <c r="I76" s="6">
        <v>34</v>
      </c>
      <c r="J76" s="6">
        <v>19669.824000000001</v>
      </c>
      <c r="K76" s="6">
        <v>1</v>
      </c>
      <c r="L76" s="6">
        <v>0</v>
      </c>
      <c r="M76" s="6">
        <v>0</v>
      </c>
      <c r="N76" s="6">
        <v>0</v>
      </c>
      <c r="O76" s="6">
        <v>0</v>
      </c>
      <c r="P76" s="6" t="s">
        <v>75</v>
      </c>
      <c r="Q76" s="6" t="s">
        <v>75</v>
      </c>
      <c r="R76" s="6" t="s">
        <v>75</v>
      </c>
    </row>
    <row r="77" spans="1:18" ht="34.25" customHeight="1" x14ac:dyDescent="0.35">
      <c r="A77" s="6">
        <v>174</v>
      </c>
      <c r="B77" s="20">
        <v>45845</v>
      </c>
      <c r="C77" s="6" t="s">
        <v>74</v>
      </c>
      <c r="D77" s="6" t="s">
        <v>75</v>
      </c>
      <c r="E77" s="6" t="s">
        <v>84</v>
      </c>
      <c r="F77" s="6" t="s">
        <v>17</v>
      </c>
      <c r="G77" s="6" t="s">
        <v>80</v>
      </c>
      <c r="H77" s="6" t="s">
        <v>24</v>
      </c>
      <c r="I77" s="6">
        <v>200</v>
      </c>
      <c r="J77" s="6">
        <v>19669.824000000001</v>
      </c>
      <c r="K77" s="6">
        <v>1</v>
      </c>
      <c r="L77" s="6">
        <v>0</v>
      </c>
      <c r="M77" s="6">
        <v>0</v>
      </c>
      <c r="N77" s="6">
        <v>0</v>
      </c>
      <c r="O77" s="6">
        <v>0</v>
      </c>
      <c r="P77" s="6" t="s">
        <v>87</v>
      </c>
      <c r="Q77" s="6" t="s">
        <v>75</v>
      </c>
      <c r="R77" s="6" t="s">
        <v>75</v>
      </c>
    </row>
    <row r="78" spans="1:18" ht="34.25" customHeight="1" x14ac:dyDescent="0.35">
      <c r="A78" s="6">
        <v>174</v>
      </c>
      <c r="B78" s="20">
        <v>45845</v>
      </c>
      <c r="C78" s="6" t="s">
        <v>74</v>
      </c>
      <c r="D78" s="6" t="s">
        <v>75</v>
      </c>
      <c r="E78" s="6" t="s">
        <v>84</v>
      </c>
      <c r="F78" s="6" t="s">
        <v>17</v>
      </c>
      <c r="G78" s="6" t="s">
        <v>82</v>
      </c>
      <c r="H78" s="6" t="s">
        <v>24</v>
      </c>
      <c r="I78" s="6">
        <v>150</v>
      </c>
      <c r="J78" s="6">
        <v>19669.824000000001</v>
      </c>
      <c r="K78" s="6">
        <v>1</v>
      </c>
      <c r="L78" s="6">
        <v>0</v>
      </c>
      <c r="M78" s="6">
        <v>0</v>
      </c>
      <c r="N78" s="6">
        <v>0</v>
      </c>
      <c r="O78" s="6">
        <v>0</v>
      </c>
      <c r="P78" s="6" t="s">
        <v>87</v>
      </c>
      <c r="Q78" s="6" t="s">
        <v>75</v>
      </c>
      <c r="R78" s="6" t="s">
        <v>75</v>
      </c>
    </row>
    <row r="79" spans="1:18" ht="34.25" customHeight="1" x14ac:dyDescent="0.35">
      <c r="A79" s="6">
        <v>174</v>
      </c>
      <c r="B79" s="20">
        <v>45845</v>
      </c>
      <c r="C79" s="6" t="s">
        <v>74</v>
      </c>
      <c r="D79" s="6" t="s">
        <v>75</v>
      </c>
      <c r="E79" s="6" t="s">
        <v>84</v>
      </c>
      <c r="F79" s="6" t="s">
        <v>17</v>
      </c>
      <c r="G79" s="6" t="s">
        <v>107</v>
      </c>
      <c r="H79" s="6" t="s">
        <v>21</v>
      </c>
      <c r="I79" s="6">
        <v>20</v>
      </c>
      <c r="J79" s="6">
        <v>1825</v>
      </c>
      <c r="K79" s="6">
        <v>1</v>
      </c>
      <c r="L79" s="6">
        <v>0</v>
      </c>
      <c r="M79" s="6">
        <v>0</v>
      </c>
      <c r="N79" s="6">
        <v>0</v>
      </c>
      <c r="O79" s="6">
        <v>0</v>
      </c>
      <c r="P79" s="6" t="s">
        <v>87</v>
      </c>
      <c r="Q79" s="6" t="s">
        <v>75</v>
      </c>
      <c r="R79" s="6" t="s">
        <v>75</v>
      </c>
    </row>
    <row r="80" spans="1:18" ht="34.25" customHeight="1" x14ac:dyDescent="0.35">
      <c r="A80" s="6">
        <v>175</v>
      </c>
      <c r="B80" s="20">
        <v>45846</v>
      </c>
      <c r="C80" s="6" t="s">
        <v>87</v>
      </c>
      <c r="D80" s="6" t="s">
        <v>75</v>
      </c>
      <c r="E80" s="6" t="s">
        <v>20</v>
      </c>
      <c r="F80" s="6" t="s">
        <v>17</v>
      </c>
      <c r="G80" s="6" t="s">
        <v>80</v>
      </c>
      <c r="H80" s="6" t="s">
        <v>24</v>
      </c>
      <c r="I80" s="6">
        <v>144</v>
      </c>
      <c r="J80" s="6">
        <v>19669.824000000001</v>
      </c>
      <c r="K80" s="6">
        <v>1</v>
      </c>
      <c r="L80" s="6">
        <v>0</v>
      </c>
      <c r="M80" s="6">
        <v>0</v>
      </c>
      <c r="N80" s="6">
        <v>0</v>
      </c>
      <c r="O80" s="6">
        <v>0</v>
      </c>
      <c r="P80" s="6" t="s">
        <v>87</v>
      </c>
      <c r="Q80" s="6" t="s">
        <v>75</v>
      </c>
      <c r="R80" s="6" t="s">
        <v>75</v>
      </c>
    </row>
    <row r="81" spans="1:18" ht="34.25" customHeight="1" x14ac:dyDescent="0.35">
      <c r="A81" s="6">
        <v>175</v>
      </c>
      <c r="B81" s="20">
        <v>45846</v>
      </c>
      <c r="C81" s="6" t="s">
        <v>87</v>
      </c>
      <c r="D81" s="6" t="s">
        <v>75</v>
      </c>
      <c r="E81" s="6" t="s">
        <v>20</v>
      </c>
      <c r="F81" s="6" t="s">
        <v>17</v>
      </c>
      <c r="G81" s="6" t="s">
        <v>82</v>
      </c>
      <c r="H81" s="6" t="s">
        <v>24</v>
      </c>
      <c r="I81" s="6">
        <v>134</v>
      </c>
      <c r="J81" s="6">
        <v>19669.824000000001</v>
      </c>
      <c r="K81" s="6">
        <v>1</v>
      </c>
      <c r="L81" s="6">
        <v>0</v>
      </c>
      <c r="M81" s="6">
        <v>0</v>
      </c>
      <c r="N81" s="6">
        <v>0</v>
      </c>
      <c r="O81" s="6">
        <v>0</v>
      </c>
      <c r="P81" s="6" t="s">
        <v>87</v>
      </c>
      <c r="Q81" s="6" t="s">
        <v>75</v>
      </c>
      <c r="R81" s="6" t="s">
        <v>75</v>
      </c>
    </row>
    <row r="82" spans="1:18" ht="34.25" customHeight="1" x14ac:dyDescent="0.35">
      <c r="A82" s="6">
        <v>176</v>
      </c>
      <c r="B82" s="20">
        <v>45846</v>
      </c>
      <c r="C82" s="6" t="s">
        <v>87</v>
      </c>
      <c r="D82" s="6" t="s">
        <v>75</v>
      </c>
      <c r="E82" s="6" t="s">
        <v>20</v>
      </c>
      <c r="F82" s="6" t="s">
        <v>17</v>
      </c>
      <c r="G82" s="6" t="s">
        <v>80</v>
      </c>
      <c r="H82" s="6" t="s">
        <v>24</v>
      </c>
      <c r="I82" s="6">
        <v>245</v>
      </c>
      <c r="J82" s="6">
        <v>19669.824000000001</v>
      </c>
      <c r="K82" s="6">
        <v>1</v>
      </c>
      <c r="L82" s="6">
        <v>0</v>
      </c>
      <c r="M82" s="6">
        <v>0</v>
      </c>
      <c r="N82" s="6">
        <v>0</v>
      </c>
      <c r="O82" s="6">
        <v>0</v>
      </c>
      <c r="P82" s="6" t="s">
        <v>74</v>
      </c>
      <c r="Q82" s="6" t="s">
        <v>75</v>
      </c>
      <c r="R82" s="6" t="s">
        <v>75</v>
      </c>
    </row>
    <row r="83" spans="1:18" ht="34.25" customHeight="1" x14ac:dyDescent="0.35">
      <c r="A83" s="6">
        <v>176</v>
      </c>
      <c r="B83" s="20">
        <v>45846</v>
      </c>
      <c r="C83" s="6" t="s">
        <v>87</v>
      </c>
      <c r="D83" s="6" t="s">
        <v>75</v>
      </c>
      <c r="E83" s="6" t="s">
        <v>20</v>
      </c>
      <c r="F83" s="6" t="s">
        <v>17</v>
      </c>
      <c r="G83" s="6" t="s">
        <v>82</v>
      </c>
      <c r="H83" s="6" t="s">
        <v>24</v>
      </c>
      <c r="I83" s="6">
        <v>345</v>
      </c>
      <c r="J83" s="6">
        <v>19669.824000000001</v>
      </c>
      <c r="K83" s="6">
        <v>1</v>
      </c>
      <c r="L83" s="6">
        <v>0</v>
      </c>
      <c r="M83" s="6">
        <v>0</v>
      </c>
      <c r="N83" s="6">
        <v>0</v>
      </c>
      <c r="O83" s="6">
        <v>0</v>
      </c>
      <c r="P83" s="6" t="s">
        <v>74</v>
      </c>
      <c r="Q83" s="6" t="s">
        <v>75</v>
      </c>
      <c r="R83" s="6" t="s">
        <v>75</v>
      </c>
    </row>
    <row r="84" spans="1:18" ht="34.25" customHeight="1" x14ac:dyDescent="0.35">
      <c r="A84" s="6">
        <v>184</v>
      </c>
      <c r="B84" s="20">
        <v>45853</v>
      </c>
      <c r="C84" s="6" t="s">
        <v>74</v>
      </c>
      <c r="D84" s="6" t="s">
        <v>75</v>
      </c>
      <c r="E84" s="6" t="s">
        <v>84</v>
      </c>
      <c r="F84" s="6" t="s">
        <v>17</v>
      </c>
      <c r="G84" s="6" t="s">
        <v>88</v>
      </c>
      <c r="H84" s="6" t="s">
        <v>21</v>
      </c>
      <c r="I84" s="6">
        <v>4</v>
      </c>
      <c r="J84" s="6">
        <v>14</v>
      </c>
      <c r="K84" s="6">
        <v>1</v>
      </c>
      <c r="L84" s="6">
        <v>0</v>
      </c>
      <c r="M84" s="6">
        <v>0</v>
      </c>
      <c r="N84" s="6">
        <v>0</v>
      </c>
      <c r="O84" s="6">
        <v>0</v>
      </c>
      <c r="P84" s="6" t="s">
        <v>74</v>
      </c>
      <c r="Q84" s="6" t="s">
        <v>75</v>
      </c>
      <c r="R84" s="6" t="s">
        <v>75</v>
      </c>
    </row>
    <row r="85" spans="1:18" ht="36.4" customHeight="1" x14ac:dyDescent="0.35">
      <c r="A85" s="6">
        <v>184</v>
      </c>
      <c r="B85" s="20">
        <v>45853</v>
      </c>
      <c r="C85" s="6" t="s">
        <v>74</v>
      </c>
      <c r="D85" s="6" t="s">
        <v>75</v>
      </c>
      <c r="E85" s="6" t="s">
        <v>84</v>
      </c>
      <c r="F85" s="6" t="s">
        <v>17</v>
      </c>
      <c r="G85" s="6" t="s">
        <v>76</v>
      </c>
      <c r="H85" s="6" t="s">
        <v>21</v>
      </c>
      <c r="I85" s="6">
        <v>0</v>
      </c>
      <c r="J85" s="6">
        <v>192</v>
      </c>
      <c r="K85" s="6">
        <v>1</v>
      </c>
      <c r="L85" s="6">
        <v>0</v>
      </c>
      <c r="M85" s="6">
        <v>0</v>
      </c>
      <c r="N85" s="6">
        <v>0</v>
      </c>
      <c r="O85" s="6">
        <v>0</v>
      </c>
      <c r="P85" s="6" t="s">
        <v>74</v>
      </c>
      <c r="Q85" s="6" t="s">
        <v>75</v>
      </c>
      <c r="R85" s="6" t="s">
        <v>75</v>
      </c>
    </row>
    <row r="86" spans="1:18" ht="34.25" customHeight="1" x14ac:dyDescent="0.35">
      <c r="A86" s="6">
        <v>184</v>
      </c>
      <c r="B86" s="20">
        <v>45853</v>
      </c>
      <c r="C86" s="6" t="s">
        <v>74</v>
      </c>
      <c r="D86" s="6" t="s">
        <v>75</v>
      </c>
      <c r="E86" s="6" t="s">
        <v>84</v>
      </c>
      <c r="F86" s="6" t="s">
        <v>17</v>
      </c>
      <c r="G86" s="6" t="s">
        <v>119</v>
      </c>
      <c r="H86" s="6" t="s">
        <v>24</v>
      </c>
      <c r="I86" s="6">
        <v>0</v>
      </c>
      <c r="J86" s="6">
        <v>4884</v>
      </c>
      <c r="K86" s="6">
        <v>1</v>
      </c>
      <c r="L86" s="6">
        <v>0</v>
      </c>
      <c r="M86" s="6">
        <v>0</v>
      </c>
      <c r="N86" s="6">
        <v>0</v>
      </c>
      <c r="O86" s="6">
        <v>0</v>
      </c>
      <c r="P86" s="6" t="s">
        <v>74</v>
      </c>
      <c r="Q86" s="6" t="s">
        <v>75</v>
      </c>
      <c r="R86" s="6" t="s">
        <v>75</v>
      </c>
    </row>
    <row r="87" spans="1:18" ht="34.25" customHeight="1" x14ac:dyDescent="0.35">
      <c r="A87" s="6">
        <v>184</v>
      </c>
      <c r="B87" s="20">
        <v>45853</v>
      </c>
      <c r="C87" s="6" t="s">
        <v>74</v>
      </c>
      <c r="D87" s="6" t="s">
        <v>75</v>
      </c>
      <c r="E87" s="6" t="s">
        <v>84</v>
      </c>
      <c r="F87" s="6" t="s">
        <v>17</v>
      </c>
      <c r="G87" s="6" t="s">
        <v>80</v>
      </c>
      <c r="H87" s="6" t="s">
        <v>24</v>
      </c>
      <c r="I87" s="6">
        <v>100</v>
      </c>
      <c r="J87" s="6">
        <v>19669.824000000001</v>
      </c>
      <c r="K87" s="6">
        <v>1</v>
      </c>
      <c r="L87" s="6">
        <v>0</v>
      </c>
      <c r="M87" s="6">
        <v>0</v>
      </c>
      <c r="N87" s="6">
        <v>0</v>
      </c>
      <c r="O87" s="6">
        <v>0</v>
      </c>
      <c r="P87" s="6" t="s">
        <v>74</v>
      </c>
      <c r="Q87" s="6" t="s">
        <v>75</v>
      </c>
      <c r="R87" s="6" t="s">
        <v>75</v>
      </c>
    </row>
    <row r="88" spans="1:18" ht="34.25" customHeight="1" x14ac:dyDescent="0.35">
      <c r="A88" s="6">
        <v>184</v>
      </c>
      <c r="B88" s="20">
        <v>45853</v>
      </c>
      <c r="C88" s="6" t="s">
        <v>74</v>
      </c>
      <c r="D88" s="6" t="s">
        <v>75</v>
      </c>
      <c r="E88" s="6" t="s">
        <v>84</v>
      </c>
      <c r="F88" s="6" t="s">
        <v>17</v>
      </c>
      <c r="G88" s="6" t="s">
        <v>82</v>
      </c>
      <c r="H88" s="6" t="s">
        <v>24</v>
      </c>
      <c r="I88" s="6">
        <v>800</v>
      </c>
      <c r="J88" s="6">
        <v>19669.824000000001</v>
      </c>
      <c r="K88" s="6">
        <v>1</v>
      </c>
      <c r="L88" s="6">
        <v>0</v>
      </c>
      <c r="M88" s="6">
        <v>0</v>
      </c>
      <c r="N88" s="6">
        <v>0</v>
      </c>
      <c r="O88" s="6">
        <v>0</v>
      </c>
      <c r="P88" s="6" t="s">
        <v>74</v>
      </c>
      <c r="Q88" s="6" t="s">
        <v>75</v>
      </c>
      <c r="R88" s="6" t="s">
        <v>75</v>
      </c>
    </row>
    <row r="89" spans="1:18" ht="34.25" customHeight="1" x14ac:dyDescent="0.35">
      <c r="A89" s="6">
        <v>184</v>
      </c>
      <c r="B89" s="20">
        <v>45853</v>
      </c>
      <c r="C89" s="6" t="s">
        <v>74</v>
      </c>
      <c r="D89" s="6" t="s">
        <v>75</v>
      </c>
      <c r="E89" s="6" t="s">
        <v>84</v>
      </c>
      <c r="F89" s="6" t="s">
        <v>17</v>
      </c>
      <c r="G89" s="6" t="s">
        <v>83</v>
      </c>
      <c r="H89" s="6" t="s">
        <v>24</v>
      </c>
      <c r="I89" s="6">
        <v>0</v>
      </c>
      <c r="J89" s="6">
        <v>1176</v>
      </c>
      <c r="K89" s="6">
        <v>1</v>
      </c>
      <c r="L89" s="6">
        <v>0</v>
      </c>
      <c r="M89" s="6">
        <v>0</v>
      </c>
      <c r="N89" s="6">
        <v>0</v>
      </c>
      <c r="O89" s="6">
        <v>0</v>
      </c>
      <c r="P89" s="6" t="s">
        <v>74</v>
      </c>
      <c r="Q89" s="6" t="s">
        <v>75</v>
      </c>
      <c r="R89" s="6" t="s">
        <v>75</v>
      </c>
    </row>
    <row r="90" spans="1:18" ht="34.25" customHeight="1" x14ac:dyDescent="0.35">
      <c r="A90" s="6">
        <v>184</v>
      </c>
      <c r="B90" s="20">
        <v>45853</v>
      </c>
      <c r="C90" s="6" t="s">
        <v>74</v>
      </c>
      <c r="D90" s="6" t="s">
        <v>75</v>
      </c>
      <c r="E90" s="6" t="s">
        <v>84</v>
      </c>
      <c r="F90" s="6" t="s">
        <v>17</v>
      </c>
      <c r="G90" s="6" t="s">
        <v>107</v>
      </c>
      <c r="H90" s="6" t="s">
        <v>21</v>
      </c>
      <c r="I90" s="6">
        <v>0</v>
      </c>
      <c r="J90" s="6">
        <v>1825</v>
      </c>
      <c r="K90" s="6">
        <v>1</v>
      </c>
      <c r="L90" s="6">
        <v>0</v>
      </c>
      <c r="M90" s="6">
        <v>0</v>
      </c>
      <c r="N90" s="6">
        <v>0</v>
      </c>
      <c r="O90" s="6">
        <v>0</v>
      </c>
      <c r="P90" s="6" t="s">
        <v>74</v>
      </c>
      <c r="Q90" s="6" t="s">
        <v>75</v>
      </c>
      <c r="R90" s="6" t="s">
        <v>75</v>
      </c>
    </row>
    <row r="91" spans="1:18" ht="34.25" customHeight="1" x14ac:dyDescent="0.35">
      <c r="A91" s="6">
        <v>183</v>
      </c>
      <c r="B91" s="20">
        <v>45854</v>
      </c>
      <c r="C91" s="6" t="s">
        <v>74</v>
      </c>
      <c r="D91" s="6" t="s">
        <v>75</v>
      </c>
      <c r="E91" s="6" t="s">
        <v>84</v>
      </c>
      <c r="F91" s="6" t="s">
        <v>17</v>
      </c>
      <c r="G91" s="6" t="s">
        <v>88</v>
      </c>
      <c r="H91" s="6" t="s">
        <v>21</v>
      </c>
      <c r="I91" s="6">
        <v>3</v>
      </c>
      <c r="J91" s="6">
        <v>14</v>
      </c>
      <c r="K91" s="6">
        <v>1</v>
      </c>
      <c r="L91" s="6">
        <v>0</v>
      </c>
      <c r="M91" s="6">
        <v>0</v>
      </c>
      <c r="N91" s="6">
        <v>0</v>
      </c>
      <c r="O91" s="6">
        <v>0</v>
      </c>
      <c r="P91" s="6" t="s">
        <v>75</v>
      </c>
      <c r="Q91" s="6" t="s">
        <v>75</v>
      </c>
      <c r="R91" s="6" t="s">
        <v>75</v>
      </c>
    </row>
    <row r="92" spans="1:18" ht="36.4" customHeight="1" x14ac:dyDescent="0.35">
      <c r="A92" s="6">
        <v>183</v>
      </c>
      <c r="B92" s="20">
        <v>45854</v>
      </c>
      <c r="C92" s="6" t="s">
        <v>74</v>
      </c>
      <c r="D92" s="6" t="s">
        <v>75</v>
      </c>
      <c r="E92" s="6" t="s">
        <v>84</v>
      </c>
      <c r="F92" s="6" t="s">
        <v>17</v>
      </c>
      <c r="G92" s="6" t="s">
        <v>76</v>
      </c>
      <c r="H92" s="6" t="s">
        <v>21</v>
      </c>
      <c r="I92" s="6">
        <v>0</v>
      </c>
      <c r="J92" s="6">
        <v>192</v>
      </c>
      <c r="K92" s="6">
        <v>1</v>
      </c>
      <c r="L92" s="6">
        <v>0</v>
      </c>
      <c r="M92" s="6">
        <v>0</v>
      </c>
      <c r="N92" s="6">
        <v>0</v>
      </c>
      <c r="O92" s="6">
        <v>0</v>
      </c>
      <c r="P92" s="6" t="s">
        <v>75</v>
      </c>
      <c r="Q92" s="6" t="s">
        <v>75</v>
      </c>
      <c r="R92" s="6" t="s">
        <v>75</v>
      </c>
    </row>
    <row r="93" spans="1:18" ht="34.25" customHeight="1" x14ac:dyDescent="0.35">
      <c r="A93" s="6">
        <v>183</v>
      </c>
      <c r="B93" s="20">
        <v>45854</v>
      </c>
      <c r="C93" s="6" t="s">
        <v>74</v>
      </c>
      <c r="D93" s="6" t="s">
        <v>75</v>
      </c>
      <c r="E93" s="6" t="s">
        <v>84</v>
      </c>
      <c r="F93" s="6" t="s">
        <v>17</v>
      </c>
      <c r="G93" s="6" t="s">
        <v>119</v>
      </c>
      <c r="H93" s="6" t="s">
        <v>24</v>
      </c>
      <c r="I93" s="6">
        <v>0</v>
      </c>
      <c r="J93" s="6">
        <v>4884</v>
      </c>
      <c r="K93" s="6">
        <v>1</v>
      </c>
      <c r="L93" s="6">
        <v>0</v>
      </c>
      <c r="M93" s="6">
        <v>0</v>
      </c>
      <c r="N93" s="6">
        <v>0</v>
      </c>
      <c r="O93" s="6">
        <v>0</v>
      </c>
      <c r="P93" s="6" t="s">
        <v>75</v>
      </c>
      <c r="Q93" s="6" t="s">
        <v>75</v>
      </c>
      <c r="R93" s="6" t="s">
        <v>75</v>
      </c>
    </row>
    <row r="94" spans="1:18" ht="34.25" customHeight="1" x14ac:dyDescent="0.35">
      <c r="A94" s="6">
        <v>183</v>
      </c>
      <c r="B94" s="20">
        <v>45854</v>
      </c>
      <c r="C94" s="6" t="s">
        <v>74</v>
      </c>
      <c r="D94" s="6" t="s">
        <v>75</v>
      </c>
      <c r="E94" s="6" t="s">
        <v>84</v>
      </c>
      <c r="F94" s="6" t="s">
        <v>17</v>
      </c>
      <c r="G94" s="6" t="s">
        <v>79</v>
      </c>
      <c r="H94" s="6" t="s">
        <v>21</v>
      </c>
      <c r="I94" s="6">
        <v>2</v>
      </c>
      <c r="J94" s="6">
        <v>54</v>
      </c>
      <c r="K94" s="6">
        <v>1</v>
      </c>
      <c r="L94" s="6">
        <v>0</v>
      </c>
      <c r="M94" s="6">
        <v>0</v>
      </c>
      <c r="N94" s="6">
        <v>0</v>
      </c>
      <c r="O94" s="6">
        <v>0</v>
      </c>
      <c r="P94" s="6" t="s">
        <v>75</v>
      </c>
      <c r="Q94" s="6" t="s">
        <v>75</v>
      </c>
      <c r="R94" s="6" t="s">
        <v>75</v>
      </c>
    </row>
    <row r="95" spans="1:18" ht="34.25" customHeight="1" x14ac:dyDescent="0.35">
      <c r="A95" s="6">
        <v>183</v>
      </c>
      <c r="B95" s="20">
        <v>45854</v>
      </c>
      <c r="C95" s="6" t="s">
        <v>74</v>
      </c>
      <c r="D95" s="6" t="s">
        <v>75</v>
      </c>
      <c r="E95" s="6" t="s">
        <v>84</v>
      </c>
      <c r="F95" s="6" t="s">
        <v>17</v>
      </c>
      <c r="G95" s="6" t="s">
        <v>80</v>
      </c>
      <c r="H95" s="6" t="s">
        <v>24</v>
      </c>
      <c r="I95" s="6">
        <v>100</v>
      </c>
      <c r="J95" s="6">
        <v>19669.824000000001</v>
      </c>
      <c r="K95" s="6">
        <v>1</v>
      </c>
      <c r="L95" s="6">
        <v>0</v>
      </c>
      <c r="M95" s="6">
        <v>0</v>
      </c>
      <c r="N95" s="6">
        <v>0</v>
      </c>
      <c r="O95" s="6">
        <v>0</v>
      </c>
      <c r="P95" s="6" t="s">
        <v>75</v>
      </c>
      <c r="Q95" s="6" t="s">
        <v>75</v>
      </c>
      <c r="R95" s="6" t="s">
        <v>75</v>
      </c>
    </row>
    <row r="96" spans="1:18" ht="34.25" customHeight="1" x14ac:dyDescent="0.35">
      <c r="A96" s="6">
        <v>183</v>
      </c>
      <c r="B96" s="20">
        <v>45854</v>
      </c>
      <c r="C96" s="6" t="s">
        <v>74</v>
      </c>
      <c r="D96" s="6" t="s">
        <v>75</v>
      </c>
      <c r="E96" s="6" t="s">
        <v>84</v>
      </c>
      <c r="F96" s="6" t="s">
        <v>17</v>
      </c>
      <c r="G96" s="6" t="s">
        <v>82</v>
      </c>
      <c r="H96" s="6" t="s">
        <v>24</v>
      </c>
      <c r="I96" s="6">
        <v>800</v>
      </c>
      <c r="J96" s="6">
        <v>19669.824000000001</v>
      </c>
      <c r="K96" s="6">
        <v>1</v>
      </c>
      <c r="L96" s="6">
        <v>0</v>
      </c>
      <c r="M96" s="6">
        <v>0</v>
      </c>
      <c r="N96" s="6">
        <v>0</v>
      </c>
      <c r="O96" s="6">
        <v>0</v>
      </c>
      <c r="P96" s="6" t="s">
        <v>75</v>
      </c>
      <c r="Q96" s="6" t="s">
        <v>75</v>
      </c>
      <c r="R96" s="6" t="s">
        <v>75</v>
      </c>
    </row>
    <row r="97" spans="1:18" ht="34.25" customHeight="1" x14ac:dyDescent="0.35">
      <c r="A97" s="6">
        <v>183</v>
      </c>
      <c r="B97" s="20">
        <v>45854</v>
      </c>
      <c r="C97" s="6" t="s">
        <v>74</v>
      </c>
      <c r="D97" s="6" t="s">
        <v>75</v>
      </c>
      <c r="E97" s="6" t="s">
        <v>84</v>
      </c>
      <c r="F97" s="6" t="s">
        <v>17</v>
      </c>
      <c r="G97" s="6" t="s">
        <v>83</v>
      </c>
      <c r="H97" s="6" t="s">
        <v>24</v>
      </c>
      <c r="I97" s="6">
        <v>0</v>
      </c>
      <c r="J97" s="6">
        <v>1176</v>
      </c>
      <c r="K97" s="6">
        <v>1</v>
      </c>
      <c r="L97" s="6">
        <v>0</v>
      </c>
      <c r="M97" s="6">
        <v>0</v>
      </c>
      <c r="N97" s="6">
        <v>0</v>
      </c>
      <c r="O97" s="6">
        <v>0</v>
      </c>
      <c r="P97" s="6" t="s">
        <v>75</v>
      </c>
      <c r="Q97" s="6" t="s">
        <v>75</v>
      </c>
      <c r="R97" s="6" t="s">
        <v>75</v>
      </c>
    </row>
    <row r="98" spans="1:18" ht="34.25" customHeight="1" x14ac:dyDescent="0.35">
      <c r="A98" s="6">
        <v>183</v>
      </c>
      <c r="B98" s="20">
        <v>45854</v>
      </c>
      <c r="C98" s="6" t="s">
        <v>74</v>
      </c>
      <c r="D98" s="6" t="s">
        <v>75</v>
      </c>
      <c r="E98" s="6" t="s">
        <v>84</v>
      </c>
      <c r="F98" s="6" t="s">
        <v>17</v>
      </c>
      <c r="G98" s="6" t="s">
        <v>107</v>
      </c>
      <c r="H98" s="6" t="s">
        <v>21</v>
      </c>
      <c r="I98" s="6">
        <v>0</v>
      </c>
      <c r="J98" s="6">
        <v>1825</v>
      </c>
      <c r="K98" s="6">
        <v>1</v>
      </c>
      <c r="L98" s="6">
        <v>0</v>
      </c>
      <c r="M98" s="6">
        <v>0</v>
      </c>
      <c r="N98" s="6">
        <v>0</v>
      </c>
      <c r="O98" s="6">
        <v>0</v>
      </c>
      <c r="P98" s="6" t="s">
        <v>75</v>
      </c>
      <c r="Q98" s="6" t="s">
        <v>75</v>
      </c>
      <c r="R98" s="6" t="s">
        <v>75</v>
      </c>
    </row>
    <row r="99" spans="1:18" ht="36.4" customHeight="1" x14ac:dyDescent="0.35">
      <c r="A99" s="6">
        <v>185</v>
      </c>
      <c r="B99" s="20">
        <v>45855</v>
      </c>
      <c r="C99" s="6" t="s">
        <v>74</v>
      </c>
      <c r="D99" s="6" t="s">
        <v>75</v>
      </c>
      <c r="E99" s="6" t="s">
        <v>84</v>
      </c>
      <c r="F99" s="6" t="s">
        <v>17</v>
      </c>
      <c r="G99" s="6" t="s">
        <v>76</v>
      </c>
      <c r="H99" s="6" t="s">
        <v>21</v>
      </c>
      <c r="I99" s="6">
        <v>6</v>
      </c>
      <c r="J99" s="6">
        <v>192</v>
      </c>
      <c r="K99" s="6">
        <v>1</v>
      </c>
      <c r="L99" s="6">
        <v>0</v>
      </c>
      <c r="M99" s="6">
        <v>0</v>
      </c>
      <c r="N99" s="6">
        <v>0</v>
      </c>
      <c r="O99" s="6">
        <v>0</v>
      </c>
      <c r="P99" s="6" t="s">
        <v>75</v>
      </c>
      <c r="Q99" s="6" t="s">
        <v>75</v>
      </c>
      <c r="R99" s="6" t="s">
        <v>75</v>
      </c>
    </row>
    <row r="100" spans="1:18" ht="34.25" customHeight="1" x14ac:dyDescent="0.35">
      <c r="A100" s="6">
        <v>185</v>
      </c>
      <c r="B100" s="20">
        <v>45855</v>
      </c>
      <c r="C100" s="6" t="s">
        <v>74</v>
      </c>
      <c r="D100" s="6" t="s">
        <v>75</v>
      </c>
      <c r="E100" s="6" t="s">
        <v>84</v>
      </c>
      <c r="F100" s="6" t="s">
        <v>17</v>
      </c>
      <c r="G100" s="6" t="s">
        <v>83</v>
      </c>
      <c r="H100" s="6" t="s">
        <v>24</v>
      </c>
      <c r="I100" s="6">
        <v>49</v>
      </c>
      <c r="J100" s="6">
        <v>1176</v>
      </c>
      <c r="K100" s="6">
        <v>1</v>
      </c>
      <c r="L100" s="6">
        <v>0</v>
      </c>
      <c r="M100" s="6">
        <v>0</v>
      </c>
      <c r="N100" s="6">
        <v>0</v>
      </c>
      <c r="O100" s="6">
        <v>0</v>
      </c>
      <c r="P100" s="6" t="s">
        <v>75</v>
      </c>
      <c r="Q100" s="6" t="s">
        <v>75</v>
      </c>
      <c r="R100" s="6" t="s">
        <v>75</v>
      </c>
    </row>
    <row r="101" spans="1:18" ht="34.25" customHeight="1" x14ac:dyDescent="0.35">
      <c r="A101" s="6">
        <v>187</v>
      </c>
      <c r="B101" s="20">
        <v>45877</v>
      </c>
      <c r="C101" s="6" t="s">
        <v>87</v>
      </c>
      <c r="D101" s="6" t="s">
        <v>75</v>
      </c>
      <c r="E101" s="6" t="s">
        <v>20</v>
      </c>
      <c r="F101" s="6" t="s">
        <v>17</v>
      </c>
      <c r="G101" s="6" t="s">
        <v>80</v>
      </c>
      <c r="H101" s="6" t="s">
        <v>24</v>
      </c>
      <c r="I101" s="6">
        <v>355</v>
      </c>
      <c r="J101" s="6">
        <v>19669.824000000001</v>
      </c>
      <c r="K101" s="6">
        <v>1</v>
      </c>
      <c r="L101" s="6">
        <v>0</v>
      </c>
      <c r="M101" s="6">
        <v>0</v>
      </c>
      <c r="N101" s="6">
        <v>0</v>
      </c>
      <c r="O101" s="6">
        <v>0</v>
      </c>
      <c r="P101" s="6" t="s">
        <v>75</v>
      </c>
      <c r="Q101" s="6" t="s">
        <v>75</v>
      </c>
      <c r="R101" s="6" t="s">
        <v>75</v>
      </c>
    </row>
    <row r="102" spans="1:18" ht="34.25" customHeight="1" x14ac:dyDescent="0.35">
      <c r="A102" s="6">
        <v>187</v>
      </c>
      <c r="B102" s="20">
        <v>45877</v>
      </c>
      <c r="C102" s="6" t="s">
        <v>87</v>
      </c>
      <c r="D102" s="6" t="s">
        <v>75</v>
      </c>
      <c r="E102" s="6" t="s">
        <v>20</v>
      </c>
      <c r="F102" s="6" t="s">
        <v>17</v>
      </c>
      <c r="G102" s="6" t="s">
        <v>82</v>
      </c>
      <c r="H102" s="6" t="s">
        <v>24</v>
      </c>
      <c r="I102" s="6">
        <v>34</v>
      </c>
      <c r="J102" s="6">
        <v>19669.824000000001</v>
      </c>
      <c r="K102" s="6">
        <v>1</v>
      </c>
      <c r="L102" s="6">
        <v>0</v>
      </c>
      <c r="M102" s="6">
        <v>0</v>
      </c>
      <c r="N102" s="6">
        <v>0</v>
      </c>
      <c r="O102" s="6">
        <v>0</v>
      </c>
      <c r="P102" s="6" t="s">
        <v>75</v>
      </c>
      <c r="Q102" s="6" t="s">
        <v>75</v>
      </c>
      <c r="R102" s="6" t="s">
        <v>75</v>
      </c>
    </row>
    <row r="103" spans="1:18" ht="34.25" customHeight="1" x14ac:dyDescent="0.35">
      <c r="A103" s="6">
        <v>190</v>
      </c>
      <c r="B103" s="20">
        <v>45923</v>
      </c>
      <c r="C103" s="6" t="s">
        <v>87</v>
      </c>
      <c r="D103" s="6" t="s">
        <v>75</v>
      </c>
      <c r="E103" s="6" t="s">
        <v>20</v>
      </c>
      <c r="F103" s="6" t="s">
        <v>17</v>
      </c>
      <c r="G103" s="6" t="s">
        <v>119</v>
      </c>
      <c r="H103" s="6" t="s">
        <v>24</v>
      </c>
      <c r="I103" s="6">
        <v>6</v>
      </c>
      <c r="J103" s="6">
        <v>4884</v>
      </c>
      <c r="K103" s="6">
        <v>1</v>
      </c>
      <c r="L103" s="6">
        <v>0</v>
      </c>
      <c r="M103" s="6">
        <v>0</v>
      </c>
      <c r="N103" s="6">
        <v>0</v>
      </c>
      <c r="O103" s="6">
        <v>0</v>
      </c>
      <c r="P103" s="6" t="s">
        <v>75</v>
      </c>
      <c r="Q103" s="6" t="s">
        <v>75</v>
      </c>
      <c r="R103" s="6" t="s">
        <v>75</v>
      </c>
    </row>
    <row r="104" spans="1:18" ht="34.25" customHeight="1" x14ac:dyDescent="0.35">
      <c r="A104" s="6">
        <v>190</v>
      </c>
      <c r="B104" s="20">
        <v>45923</v>
      </c>
      <c r="C104" s="6" t="s">
        <v>87</v>
      </c>
      <c r="D104" s="6" t="s">
        <v>75</v>
      </c>
      <c r="E104" s="6" t="s">
        <v>20</v>
      </c>
      <c r="F104" s="6" t="s">
        <v>17</v>
      </c>
      <c r="G104" s="6" t="s">
        <v>80</v>
      </c>
      <c r="H104" s="6" t="s">
        <v>24</v>
      </c>
      <c r="I104" s="6">
        <v>44</v>
      </c>
      <c r="J104" s="6">
        <v>19669.824000000001</v>
      </c>
      <c r="K104" s="6">
        <v>1</v>
      </c>
      <c r="L104" s="6">
        <v>0</v>
      </c>
      <c r="M104" s="6">
        <v>0</v>
      </c>
      <c r="N104" s="6">
        <v>0</v>
      </c>
      <c r="O104" s="6">
        <v>0</v>
      </c>
      <c r="P104" s="6" t="s">
        <v>75</v>
      </c>
      <c r="Q104" s="6" t="s">
        <v>75</v>
      </c>
      <c r="R104" s="6" t="s">
        <v>75</v>
      </c>
    </row>
    <row r="105" spans="1:18" ht="34.25" customHeight="1" x14ac:dyDescent="0.35">
      <c r="A105" s="6">
        <v>190</v>
      </c>
      <c r="B105" s="20">
        <v>45923</v>
      </c>
      <c r="C105" s="6" t="s">
        <v>87</v>
      </c>
      <c r="D105" s="6" t="s">
        <v>75</v>
      </c>
      <c r="E105" s="6" t="s">
        <v>20</v>
      </c>
      <c r="F105" s="6" t="s">
        <v>17</v>
      </c>
      <c r="G105" s="6" t="s">
        <v>82</v>
      </c>
      <c r="H105" s="6" t="s">
        <v>24</v>
      </c>
      <c r="I105" s="6">
        <v>3</v>
      </c>
      <c r="J105" s="6">
        <v>19669.824000000001</v>
      </c>
      <c r="K105" s="6">
        <v>1</v>
      </c>
      <c r="L105" s="6">
        <v>0</v>
      </c>
      <c r="M105" s="6">
        <v>0</v>
      </c>
      <c r="N105" s="6">
        <v>0</v>
      </c>
      <c r="O105" s="6">
        <v>0</v>
      </c>
      <c r="P105" s="6" t="s">
        <v>75</v>
      </c>
      <c r="Q105" s="6" t="s">
        <v>75</v>
      </c>
      <c r="R105" s="6" t="s">
        <v>75</v>
      </c>
    </row>
    <row r="106" spans="1:18" ht="34.25" customHeight="1" x14ac:dyDescent="0.35">
      <c r="A106" s="6">
        <v>190</v>
      </c>
      <c r="B106" s="20">
        <v>45923</v>
      </c>
      <c r="C106" s="6" t="s">
        <v>87</v>
      </c>
      <c r="D106" s="6" t="s">
        <v>75</v>
      </c>
      <c r="E106" s="6" t="s">
        <v>20</v>
      </c>
      <c r="F106" s="6" t="s">
        <v>17</v>
      </c>
      <c r="G106" s="6" t="s">
        <v>107</v>
      </c>
      <c r="H106" s="6" t="s">
        <v>21</v>
      </c>
      <c r="I106" s="6">
        <v>5</v>
      </c>
      <c r="J106" s="6">
        <v>1825</v>
      </c>
      <c r="K106" s="6">
        <v>1</v>
      </c>
      <c r="L106" s="6">
        <v>0</v>
      </c>
      <c r="M106" s="6">
        <v>0</v>
      </c>
      <c r="N106" s="6">
        <v>0</v>
      </c>
      <c r="O106" s="6">
        <v>0</v>
      </c>
      <c r="P106" s="6" t="s">
        <v>75</v>
      </c>
      <c r="Q106" s="6" t="s">
        <v>75</v>
      </c>
      <c r="R106" s="6" t="s">
        <v>75</v>
      </c>
    </row>
    <row r="107" spans="1:18" ht="34.25" customHeight="1" x14ac:dyDescent="0.35">
      <c r="A107" s="6">
        <v>191</v>
      </c>
      <c r="B107" s="20">
        <v>45923</v>
      </c>
      <c r="C107" s="6" t="s">
        <v>87</v>
      </c>
      <c r="D107" s="6" t="s">
        <v>75</v>
      </c>
      <c r="E107" s="6" t="s">
        <v>20</v>
      </c>
      <c r="F107" s="6" t="s">
        <v>17</v>
      </c>
      <c r="G107" s="6" t="s">
        <v>119</v>
      </c>
      <c r="H107" s="6" t="s">
        <v>24</v>
      </c>
      <c r="I107" s="6">
        <v>8</v>
      </c>
      <c r="J107" s="6">
        <v>4884</v>
      </c>
      <c r="K107" s="6">
        <v>1</v>
      </c>
      <c r="L107" s="6">
        <v>0</v>
      </c>
      <c r="M107" s="6">
        <v>0</v>
      </c>
      <c r="N107" s="6">
        <v>0</v>
      </c>
      <c r="O107" s="6">
        <v>0</v>
      </c>
      <c r="P107" s="6" t="s">
        <v>87</v>
      </c>
      <c r="Q107" s="6" t="s">
        <v>75</v>
      </c>
      <c r="R107" s="6" t="s">
        <v>75</v>
      </c>
    </row>
    <row r="108" spans="1:18" ht="34.25" customHeight="1" x14ac:dyDescent="0.35">
      <c r="A108" s="6">
        <v>191</v>
      </c>
      <c r="B108" s="20">
        <v>45923</v>
      </c>
      <c r="C108" s="6" t="s">
        <v>87</v>
      </c>
      <c r="D108" s="6" t="s">
        <v>75</v>
      </c>
      <c r="E108" s="6" t="s">
        <v>20</v>
      </c>
      <c r="F108" s="6" t="s">
        <v>17</v>
      </c>
      <c r="G108" s="6" t="s">
        <v>80</v>
      </c>
      <c r="H108" s="6" t="s">
        <v>24</v>
      </c>
      <c r="I108" s="6">
        <v>66</v>
      </c>
      <c r="J108" s="6">
        <v>19669.824000000001</v>
      </c>
      <c r="K108" s="6">
        <v>1</v>
      </c>
      <c r="L108" s="6">
        <v>0</v>
      </c>
      <c r="M108" s="6">
        <v>0</v>
      </c>
      <c r="N108" s="6">
        <v>0</v>
      </c>
      <c r="O108" s="6">
        <v>0</v>
      </c>
      <c r="P108" s="6" t="s">
        <v>87</v>
      </c>
      <c r="Q108" s="6" t="s">
        <v>75</v>
      </c>
      <c r="R108" s="6" t="s">
        <v>75</v>
      </c>
    </row>
    <row r="109" spans="1:18" ht="34.25" customHeight="1" x14ac:dyDescent="0.35">
      <c r="A109" s="6">
        <v>191</v>
      </c>
      <c r="B109" s="20">
        <v>45923</v>
      </c>
      <c r="C109" s="6" t="s">
        <v>87</v>
      </c>
      <c r="D109" s="6" t="s">
        <v>75</v>
      </c>
      <c r="E109" s="6" t="s">
        <v>20</v>
      </c>
      <c r="F109" s="6" t="s">
        <v>17</v>
      </c>
      <c r="G109" s="6" t="s">
        <v>82</v>
      </c>
      <c r="H109" s="6" t="s">
        <v>24</v>
      </c>
      <c r="I109" s="6">
        <v>55</v>
      </c>
      <c r="J109" s="6">
        <v>19669.824000000001</v>
      </c>
      <c r="K109" s="6">
        <v>1</v>
      </c>
      <c r="L109" s="6">
        <v>0</v>
      </c>
      <c r="M109" s="6">
        <v>0</v>
      </c>
      <c r="N109" s="6">
        <v>0</v>
      </c>
      <c r="O109" s="6">
        <v>0</v>
      </c>
      <c r="P109" s="6" t="s">
        <v>87</v>
      </c>
      <c r="Q109" s="6" t="s">
        <v>75</v>
      </c>
      <c r="R109" s="6" t="s">
        <v>75</v>
      </c>
    </row>
    <row r="110" spans="1:18" ht="34.25" customHeight="1" x14ac:dyDescent="0.35">
      <c r="A110" s="6">
        <v>191</v>
      </c>
      <c r="B110" s="20">
        <v>45923</v>
      </c>
      <c r="C110" s="6" t="s">
        <v>87</v>
      </c>
      <c r="D110" s="6" t="s">
        <v>75</v>
      </c>
      <c r="E110" s="6" t="s">
        <v>20</v>
      </c>
      <c r="F110" s="6" t="s">
        <v>17</v>
      </c>
      <c r="G110" s="6" t="s">
        <v>107</v>
      </c>
      <c r="H110" s="6" t="s">
        <v>21</v>
      </c>
      <c r="I110" s="6">
        <v>78</v>
      </c>
      <c r="J110" s="6">
        <v>1825</v>
      </c>
      <c r="K110" s="6">
        <v>1</v>
      </c>
      <c r="L110" s="6">
        <v>0</v>
      </c>
      <c r="M110" s="6">
        <v>0</v>
      </c>
      <c r="N110" s="6">
        <v>0</v>
      </c>
      <c r="O110" s="6">
        <v>0</v>
      </c>
      <c r="P110" s="6" t="s">
        <v>87</v>
      </c>
      <c r="Q110" s="6" t="s">
        <v>75</v>
      </c>
      <c r="R110" s="6" t="s">
        <v>75</v>
      </c>
    </row>
    <row r="111" spans="1:18" ht="34.25" customHeight="1" x14ac:dyDescent="0.35">
      <c r="A111" s="6">
        <v>193</v>
      </c>
      <c r="B111" s="20">
        <v>45924</v>
      </c>
      <c r="C111" s="6" t="s">
        <v>87</v>
      </c>
      <c r="D111" s="6" t="s">
        <v>75</v>
      </c>
      <c r="E111" s="6" t="s">
        <v>20</v>
      </c>
      <c r="F111" s="6" t="s">
        <v>17</v>
      </c>
      <c r="G111" s="6" t="s">
        <v>80</v>
      </c>
      <c r="H111" s="6" t="s">
        <v>24</v>
      </c>
      <c r="I111" s="6">
        <v>200</v>
      </c>
      <c r="J111" s="6">
        <v>19669.824000000001</v>
      </c>
      <c r="K111" s="6">
        <v>1</v>
      </c>
      <c r="L111" s="6">
        <v>0</v>
      </c>
      <c r="M111" s="6">
        <v>0</v>
      </c>
      <c r="N111" s="6">
        <v>0</v>
      </c>
      <c r="O111" s="6">
        <v>0</v>
      </c>
      <c r="P111" s="6" t="s">
        <v>87</v>
      </c>
      <c r="Q111" s="6" t="s">
        <v>75</v>
      </c>
      <c r="R111" s="6" t="s">
        <v>75</v>
      </c>
    </row>
    <row r="112" spans="1:18" ht="34.25" customHeight="1" x14ac:dyDescent="0.35">
      <c r="A112" s="6">
        <v>193</v>
      </c>
      <c r="B112" s="20">
        <v>45924</v>
      </c>
      <c r="C112" s="6" t="s">
        <v>87</v>
      </c>
      <c r="D112" s="6" t="s">
        <v>75</v>
      </c>
      <c r="E112" s="6" t="s">
        <v>20</v>
      </c>
      <c r="F112" s="6" t="s">
        <v>17</v>
      </c>
      <c r="G112" s="6" t="s">
        <v>82</v>
      </c>
      <c r="H112" s="6" t="s">
        <v>24</v>
      </c>
      <c r="I112" s="6">
        <v>250</v>
      </c>
      <c r="J112" s="6">
        <v>19669.824000000001</v>
      </c>
      <c r="K112" s="6">
        <v>1</v>
      </c>
      <c r="L112" s="6">
        <v>0</v>
      </c>
      <c r="M112" s="6">
        <v>0</v>
      </c>
      <c r="N112" s="6">
        <v>0</v>
      </c>
      <c r="O112" s="6">
        <v>0</v>
      </c>
      <c r="P112" s="6" t="s">
        <v>87</v>
      </c>
      <c r="Q112" s="6" t="s">
        <v>75</v>
      </c>
      <c r="R112" s="6" t="s">
        <v>75</v>
      </c>
    </row>
    <row r="113" spans="1:18" ht="34.25" customHeight="1" x14ac:dyDescent="0.35">
      <c r="A113" s="6">
        <v>193</v>
      </c>
      <c r="B113" s="20">
        <v>45924</v>
      </c>
      <c r="C113" s="6" t="s">
        <v>87</v>
      </c>
      <c r="D113" s="6" t="s">
        <v>75</v>
      </c>
      <c r="E113" s="6" t="s">
        <v>20</v>
      </c>
      <c r="F113" s="6" t="s">
        <v>17</v>
      </c>
      <c r="G113" s="6" t="s">
        <v>107</v>
      </c>
      <c r="H113" s="6" t="s">
        <v>21</v>
      </c>
      <c r="I113" s="6">
        <v>89</v>
      </c>
      <c r="J113" s="6">
        <v>1825</v>
      </c>
      <c r="K113" s="6">
        <v>1</v>
      </c>
      <c r="L113" s="6">
        <v>0</v>
      </c>
      <c r="M113" s="6">
        <v>0</v>
      </c>
      <c r="N113" s="6">
        <v>0</v>
      </c>
      <c r="O113" s="6">
        <v>0</v>
      </c>
      <c r="P113" s="6" t="s">
        <v>87</v>
      </c>
      <c r="Q113" s="6" t="s">
        <v>75</v>
      </c>
      <c r="R113" s="6" t="s">
        <v>75</v>
      </c>
    </row>
    <row r="114" spans="1:18" ht="34.25" customHeight="1" x14ac:dyDescent="0.35">
      <c r="A114" s="6">
        <v>194</v>
      </c>
      <c r="B114" s="20">
        <v>45924</v>
      </c>
      <c r="C114" s="6" t="s">
        <v>87</v>
      </c>
      <c r="D114" s="6" t="s">
        <v>75</v>
      </c>
      <c r="E114" s="6" t="s">
        <v>20</v>
      </c>
      <c r="F114" s="6" t="s">
        <v>17</v>
      </c>
      <c r="G114" s="6" t="s">
        <v>80</v>
      </c>
      <c r="H114" s="6" t="s">
        <v>24</v>
      </c>
      <c r="I114" s="6">
        <v>16345.824000000001</v>
      </c>
      <c r="J114" s="6">
        <v>19669.824000000001</v>
      </c>
      <c r="K114" s="6">
        <v>1</v>
      </c>
      <c r="L114" s="6">
        <v>0</v>
      </c>
      <c r="M114" s="6">
        <v>0</v>
      </c>
      <c r="N114" s="6">
        <v>0</v>
      </c>
      <c r="O114" s="6">
        <v>0</v>
      </c>
      <c r="P114" s="6" t="s">
        <v>75</v>
      </c>
      <c r="Q114" s="6" t="s">
        <v>75</v>
      </c>
      <c r="R114" s="6" t="s">
        <v>75</v>
      </c>
    </row>
    <row r="115" spans="1:18" ht="34.25" customHeight="1" x14ac:dyDescent="0.35">
      <c r="A115" s="6">
        <v>194</v>
      </c>
      <c r="B115" s="20">
        <v>45924</v>
      </c>
      <c r="C115" s="6" t="s">
        <v>87</v>
      </c>
      <c r="D115" s="6" t="s">
        <v>75</v>
      </c>
      <c r="E115" s="6" t="s">
        <v>20</v>
      </c>
      <c r="F115" s="6" t="s">
        <v>17</v>
      </c>
      <c r="G115" s="6" t="s">
        <v>82</v>
      </c>
      <c r="H115" s="6" t="s">
        <v>24</v>
      </c>
      <c r="I115" s="6">
        <v>9654.8240000000005</v>
      </c>
      <c r="J115" s="6">
        <v>19669.824000000001</v>
      </c>
      <c r="K115" s="6">
        <v>1</v>
      </c>
      <c r="L115" s="6">
        <v>0</v>
      </c>
      <c r="M115" s="6">
        <v>0</v>
      </c>
      <c r="N115" s="6">
        <v>0</v>
      </c>
      <c r="O115" s="6">
        <v>0</v>
      </c>
      <c r="P115" s="6" t="s">
        <v>75</v>
      </c>
      <c r="Q115" s="6" t="s">
        <v>75</v>
      </c>
      <c r="R115" s="6" t="s">
        <v>75</v>
      </c>
    </row>
    <row r="116" spans="1:18" ht="34.25" customHeight="1" x14ac:dyDescent="0.35">
      <c r="A116" s="6">
        <v>195</v>
      </c>
      <c r="B116" s="20">
        <v>45937</v>
      </c>
      <c r="C116" s="6" t="s">
        <v>87</v>
      </c>
      <c r="D116" s="6" t="s">
        <v>75</v>
      </c>
      <c r="E116" s="6" t="s">
        <v>20</v>
      </c>
      <c r="F116" s="6" t="s">
        <v>17</v>
      </c>
      <c r="G116" s="6" t="s">
        <v>107</v>
      </c>
      <c r="H116" s="6" t="s">
        <v>21</v>
      </c>
      <c r="I116" s="6">
        <v>12</v>
      </c>
      <c r="J116" s="6">
        <v>1825</v>
      </c>
      <c r="K116" s="6">
        <v>1</v>
      </c>
      <c r="L116" s="6">
        <v>0</v>
      </c>
      <c r="M116" s="6">
        <v>0</v>
      </c>
      <c r="N116" s="6">
        <v>0</v>
      </c>
      <c r="O116" s="6">
        <v>0</v>
      </c>
      <c r="P116" s="6" t="s">
        <v>87</v>
      </c>
      <c r="Q116" s="6" t="s">
        <v>75</v>
      </c>
      <c r="R116" s="6" t="s">
        <v>75</v>
      </c>
    </row>
    <row r="117" spans="1:18" ht="36.4" customHeight="1" x14ac:dyDescent="0.35">
      <c r="A117" s="6">
        <v>201</v>
      </c>
      <c r="B117" s="20">
        <v>45950</v>
      </c>
      <c r="C117" s="6" t="s">
        <v>87</v>
      </c>
      <c r="D117" s="6" t="s">
        <v>75</v>
      </c>
      <c r="E117" s="6" t="s">
        <v>20</v>
      </c>
      <c r="F117" s="6" t="s">
        <v>17</v>
      </c>
      <c r="G117" s="6" t="s">
        <v>76</v>
      </c>
      <c r="H117" s="6" t="s">
        <v>21</v>
      </c>
      <c r="I117" s="6">
        <v>45</v>
      </c>
      <c r="J117" s="6">
        <v>192</v>
      </c>
      <c r="K117" s="6">
        <v>1</v>
      </c>
      <c r="L117" s="6">
        <v>0</v>
      </c>
      <c r="M117" s="6">
        <v>0</v>
      </c>
      <c r="N117" s="6">
        <v>0</v>
      </c>
      <c r="O117" s="6">
        <v>0</v>
      </c>
      <c r="P117" s="6" t="s">
        <v>75</v>
      </c>
      <c r="Q117" s="6" t="s">
        <v>75</v>
      </c>
      <c r="R117" s="6" t="s">
        <v>75</v>
      </c>
    </row>
    <row r="118" spans="1:18" ht="36.4" customHeight="1" x14ac:dyDescent="0.35">
      <c r="A118" s="6">
        <v>204</v>
      </c>
      <c r="B118" s="20">
        <v>45961</v>
      </c>
      <c r="C118" s="6" t="s">
        <v>87</v>
      </c>
      <c r="D118" s="6" t="s">
        <v>75</v>
      </c>
      <c r="E118" s="6" t="s">
        <v>84</v>
      </c>
      <c r="F118" s="6" t="s">
        <v>17</v>
      </c>
      <c r="G118" s="6" t="s">
        <v>76</v>
      </c>
      <c r="H118" s="6" t="s">
        <v>21</v>
      </c>
      <c r="I118" s="6">
        <v>22</v>
      </c>
      <c r="J118" s="6">
        <v>192</v>
      </c>
      <c r="K118" s="6">
        <v>1</v>
      </c>
      <c r="L118" s="6">
        <v>0</v>
      </c>
      <c r="M118" s="6">
        <v>0</v>
      </c>
      <c r="N118" s="6">
        <v>0</v>
      </c>
      <c r="O118" s="6">
        <v>0</v>
      </c>
      <c r="P118" s="6" t="s">
        <v>75</v>
      </c>
      <c r="Q118" s="6" t="s">
        <v>75</v>
      </c>
      <c r="R118" s="6" t="s">
        <v>75</v>
      </c>
    </row>
    <row r="119" spans="1:18" ht="34.25" customHeight="1" x14ac:dyDescent="0.35">
      <c r="A119" s="6">
        <v>210</v>
      </c>
      <c r="B119" s="20">
        <v>45967</v>
      </c>
      <c r="C119" s="6" t="s">
        <v>87</v>
      </c>
      <c r="D119" s="6" t="s">
        <v>75</v>
      </c>
      <c r="E119" s="6" t="s">
        <v>20</v>
      </c>
      <c r="F119" s="6" t="s">
        <v>17</v>
      </c>
      <c r="G119" s="6" t="s">
        <v>119</v>
      </c>
      <c r="H119" s="6" t="s">
        <v>24</v>
      </c>
      <c r="I119" s="6">
        <v>12</v>
      </c>
      <c r="J119" s="6">
        <v>4884</v>
      </c>
      <c r="K119" s="6">
        <v>1</v>
      </c>
      <c r="L119" s="6">
        <v>0</v>
      </c>
      <c r="M119" s="6">
        <v>0</v>
      </c>
      <c r="N119" s="6">
        <v>0</v>
      </c>
      <c r="O119" s="6">
        <v>0</v>
      </c>
      <c r="P119" s="6" t="s">
        <v>75</v>
      </c>
      <c r="Q119" s="6" t="s">
        <v>75</v>
      </c>
      <c r="R119" s="6" t="s">
        <v>75</v>
      </c>
    </row>
    <row r="120" spans="1:18" ht="34.25" customHeight="1" x14ac:dyDescent="0.35">
      <c r="A120" s="6">
        <v>210</v>
      </c>
      <c r="B120" s="20">
        <v>45967</v>
      </c>
      <c r="C120" s="6" t="s">
        <v>87</v>
      </c>
      <c r="D120" s="6" t="s">
        <v>75</v>
      </c>
      <c r="E120" s="6" t="s">
        <v>20</v>
      </c>
      <c r="F120" s="6" t="s">
        <v>17</v>
      </c>
      <c r="G120" s="6" t="s">
        <v>107</v>
      </c>
      <c r="H120" s="6" t="s">
        <v>21</v>
      </c>
      <c r="I120" s="6">
        <v>34</v>
      </c>
      <c r="J120" s="6">
        <v>1825</v>
      </c>
      <c r="K120" s="6">
        <v>1</v>
      </c>
      <c r="L120" s="6">
        <v>0</v>
      </c>
      <c r="M120" s="6">
        <v>0</v>
      </c>
      <c r="N120" s="6">
        <v>0</v>
      </c>
      <c r="O120" s="6">
        <v>0</v>
      </c>
      <c r="P120" s="6" t="s">
        <v>75</v>
      </c>
      <c r="Q120" s="6" t="s">
        <v>75</v>
      </c>
      <c r="R120" s="6" t="s">
        <v>75</v>
      </c>
    </row>
    <row r="121" spans="1:18" ht="34.25" customHeight="1" x14ac:dyDescent="0.35">
      <c r="A121" s="6">
        <v>206</v>
      </c>
      <c r="B121" s="20">
        <v>45967</v>
      </c>
      <c r="C121" s="6" t="s">
        <v>87</v>
      </c>
      <c r="D121" s="6" t="s">
        <v>75</v>
      </c>
      <c r="E121" s="6" t="s">
        <v>128</v>
      </c>
      <c r="F121" s="6" t="s">
        <v>17</v>
      </c>
      <c r="G121" s="6" t="s">
        <v>80</v>
      </c>
      <c r="H121" s="6" t="s">
        <v>24</v>
      </c>
      <c r="I121" s="6">
        <v>120</v>
      </c>
      <c r="J121" s="6">
        <v>19669.824000000001</v>
      </c>
      <c r="K121" s="6">
        <v>1</v>
      </c>
      <c r="L121" s="6">
        <v>0</v>
      </c>
      <c r="M121" s="6">
        <v>0</v>
      </c>
      <c r="N121" s="6">
        <v>0</v>
      </c>
      <c r="O121" s="6">
        <v>0</v>
      </c>
      <c r="P121" s="6" t="s">
        <v>75</v>
      </c>
      <c r="Q121" s="6" t="s">
        <v>75</v>
      </c>
      <c r="R121" s="6" t="s">
        <v>75</v>
      </c>
    </row>
    <row r="122" spans="1:18" ht="34.25" customHeight="1" x14ac:dyDescent="0.35">
      <c r="A122" s="6">
        <v>209</v>
      </c>
      <c r="B122" s="20">
        <v>45967</v>
      </c>
      <c r="C122" s="6" t="s">
        <v>87</v>
      </c>
      <c r="D122" s="6" t="s">
        <v>75</v>
      </c>
      <c r="E122" s="6" t="s">
        <v>20</v>
      </c>
      <c r="F122" s="6" t="s">
        <v>17</v>
      </c>
      <c r="G122" s="6" t="s">
        <v>119</v>
      </c>
      <c r="H122" s="6" t="s">
        <v>24</v>
      </c>
      <c r="I122" s="6">
        <v>12</v>
      </c>
      <c r="J122" s="6">
        <v>4884</v>
      </c>
      <c r="K122" s="6">
        <v>1</v>
      </c>
      <c r="L122" s="6">
        <v>0</v>
      </c>
      <c r="M122" s="6">
        <v>0</v>
      </c>
      <c r="N122" s="6">
        <v>0</v>
      </c>
      <c r="O122" s="6">
        <v>0</v>
      </c>
      <c r="P122" s="6" t="s">
        <v>75</v>
      </c>
      <c r="Q122" s="6" t="s">
        <v>75</v>
      </c>
      <c r="R122" s="6" t="s">
        <v>75</v>
      </c>
    </row>
    <row r="123" spans="1:18" ht="34.25" customHeight="1" x14ac:dyDescent="0.35">
      <c r="A123" s="6">
        <v>211</v>
      </c>
      <c r="B123" s="20">
        <v>45968</v>
      </c>
      <c r="C123" s="6" t="s">
        <v>87</v>
      </c>
      <c r="D123" s="6" t="s">
        <v>75</v>
      </c>
      <c r="E123" s="6" t="s">
        <v>128</v>
      </c>
      <c r="F123" s="6" t="s">
        <v>17</v>
      </c>
      <c r="G123" s="6" t="s">
        <v>107</v>
      </c>
      <c r="H123" s="6" t="s">
        <v>21</v>
      </c>
      <c r="I123" s="6">
        <v>12</v>
      </c>
      <c r="J123" s="6">
        <v>1825</v>
      </c>
      <c r="K123" s="6">
        <v>1</v>
      </c>
      <c r="L123" s="6">
        <v>0</v>
      </c>
      <c r="M123" s="6">
        <v>0</v>
      </c>
      <c r="N123" s="6">
        <v>0</v>
      </c>
      <c r="O123" s="6">
        <v>0</v>
      </c>
      <c r="P123" s="6" t="s">
        <v>75</v>
      </c>
      <c r="Q123" s="6" t="s">
        <v>75</v>
      </c>
      <c r="R123" s="6" t="s">
        <v>129</v>
      </c>
    </row>
  </sheetData>
  <pageMargins left="0.7" right="0.7" top="0.75" bottom="0.75" header="0.3" footer="0.3"/>
  <pageSetup orientation="portrait" useFirstPageNumber="1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Отчёт по проекту</vt:lpstr>
      <vt:lpstr>Журнал-1</vt:lpstr>
      <vt:lpstr>Журнал-2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2025-11-14T11:23:20Z</dcterms:created>
  <dcterms:modified xsi:type="dcterms:W3CDTF">2025-11-14T11:23:47Z</dcterms:modified>
</cp:coreProperties>
</file>